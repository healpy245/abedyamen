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5"/>
  <workbookPr filterPrivacy="1"/>
  <xr:revisionPtr revIDLastSave="0" documentId="13_ncr:1_{DB2CF558-67C4-AE43-B1D0-0B0215C04C67}" xr6:coauthVersionLast="47" xr6:coauthVersionMax="47" xr10:uidLastSave="{00000000-0000-0000-0000-000000000000}"/>
  <bookViews>
    <workbookView xWindow="0" yWindow="660" windowWidth="15460" windowHeight="17220" firstSheet="7" activeTab="12" xr2:uid="{00000000-000D-0000-FFFF-FFFF00000000}"/>
    <workbookView xWindow="0" yWindow="660" windowWidth="14480" windowHeight="17240" firstSheet="7" activeTab="12" xr2:uid="{6108D65C-8E7E-F847-9606-F66956917776}"/>
  </bookViews>
  <sheets>
    <sheet name="Appetizers" sheetId="1" r:id="rId1"/>
    <sheet name="beside the burger" sheetId="2" r:id="rId2"/>
    <sheet name="Beverages" sheetId="3" r:id="rId3"/>
    <sheet name="children" sheetId="4" r:id="rId4"/>
    <sheet name="enlarge burger" sheetId="5" r:id="rId5"/>
    <sheet name="family" sheetId="6" r:id="rId6"/>
    <sheet name="hamburgers" sheetId="7" r:id="rId7"/>
    <sheet name="long box" sheetId="8" state="hidden" r:id="rId8"/>
    <sheet name="on a plate" sheetId="9" r:id="rId9"/>
    <sheet name="on top of" sheetId="10" r:id="rId10"/>
    <sheet name="Salads" sheetId="11" r:id="rId11"/>
    <sheet name="special burger" sheetId="12" r:id="rId12"/>
    <sheet name="wraps" sheetId="13" r:id="rId13"/>
    <sheet name="📊 Summary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0" i="13" l="1"/>
  <c r="J40" i="13"/>
  <c r="H44" i="13"/>
  <c r="K30" i="13"/>
  <c r="J30" i="13"/>
  <c r="H35" i="13"/>
  <c r="J21" i="13"/>
  <c r="K21" i="13" s="1"/>
  <c r="H26" i="13"/>
  <c r="K49" i="1"/>
  <c r="J49" i="1"/>
  <c r="N49" i="1" s="1"/>
  <c r="H55" i="1"/>
  <c r="K12" i="13"/>
  <c r="J12" i="13"/>
  <c r="N12" i="13" s="1"/>
  <c r="O12" i="13" s="1"/>
  <c r="H14" i="13"/>
  <c r="K3" i="13"/>
  <c r="J3" i="13"/>
  <c r="N3" i="13" s="1"/>
  <c r="H9" i="13"/>
  <c r="K140" i="12"/>
  <c r="J140" i="12"/>
  <c r="N140" i="12" s="1"/>
  <c r="H149" i="12"/>
  <c r="K129" i="12"/>
  <c r="J129" i="12"/>
  <c r="H136" i="12"/>
  <c r="H132" i="12"/>
  <c r="K121" i="12"/>
  <c r="J121" i="12"/>
  <c r="H124" i="12"/>
  <c r="N107" i="12"/>
  <c r="M107" i="12"/>
  <c r="H112" i="12"/>
  <c r="K95" i="12"/>
  <c r="J107" i="12"/>
  <c r="K107" i="12" s="1"/>
  <c r="H117" i="12"/>
  <c r="H113" i="12"/>
  <c r="H103" i="12"/>
  <c r="J95" i="12"/>
  <c r="H98" i="12"/>
  <c r="H88" i="12"/>
  <c r="J78" i="12" s="1"/>
  <c r="H91" i="12"/>
  <c r="J66" i="12"/>
  <c r="N66" i="12" s="1"/>
  <c r="O66" i="12" s="1"/>
  <c r="H75" i="12"/>
  <c r="H62" i="12"/>
  <c r="H63" i="12"/>
  <c r="J55" i="12" s="1"/>
  <c r="H47" i="12"/>
  <c r="J44" i="12" s="1"/>
  <c r="N44" i="12" s="1"/>
  <c r="H51" i="12"/>
  <c r="H50" i="12"/>
  <c r="H36" i="12"/>
  <c r="J33" i="12" s="1"/>
  <c r="K23" i="12"/>
  <c r="J23" i="12"/>
  <c r="N23" i="12" s="1"/>
  <c r="H29" i="12"/>
  <c r="H18" i="12"/>
  <c r="J14" i="12" s="1"/>
  <c r="H6" i="12"/>
  <c r="J3" i="12" s="1"/>
  <c r="K53" i="7"/>
  <c r="J53" i="7"/>
  <c r="H58" i="7"/>
  <c r="H46" i="7"/>
  <c r="H36" i="7"/>
  <c r="H26" i="7"/>
  <c r="H16" i="7"/>
  <c r="H6" i="7"/>
  <c r="K100" i="11"/>
  <c r="J100" i="11"/>
  <c r="N100" i="11" s="1"/>
  <c r="H101" i="11"/>
  <c r="K84" i="11"/>
  <c r="J84" i="11"/>
  <c r="H86" i="11"/>
  <c r="K74" i="11"/>
  <c r="J74" i="11"/>
  <c r="N74" i="11" s="1"/>
  <c r="H76" i="11"/>
  <c r="K64" i="11"/>
  <c r="J64" i="11"/>
  <c r="H66" i="11"/>
  <c r="J54" i="11"/>
  <c r="K54" i="11" s="1"/>
  <c r="H56" i="11"/>
  <c r="J44" i="11"/>
  <c r="K44" i="11" s="1"/>
  <c r="H49" i="11"/>
  <c r="K34" i="11"/>
  <c r="J34" i="11"/>
  <c r="H39" i="11"/>
  <c r="K9" i="11"/>
  <c r="J9" i="11"/>
  <c r="H10" i="11"/>
  <c r="J3" i="9"/>
  <c r="N3" i="9" s="1"/>
  <c r="E11" i="14" s="1"/>
  <c r="F11" i="14" s="1"/>
  <c r="H8" i="9"/>
  <c r="J43" i="7"/>
  <c r="N43" i="7" s="1"/>
  <c r="H50" i="7"/>
  <c r="N33" i="7"/>
  <c r="O33" i="7" s="1"/>
  <c r="M33" i="7"/>
  <c r="J33" i="7"/>
  <c r="K33" i="7" s="1"/>
  <c r="H40" i="7"/>
  <c r="J23" i="7"/>
  <c r="K23" i="7" s="1"/>
  <c r="H30" i="7"/>
  <c r="K13" i="7"/>
  <c r="J13" i="7"/>
  <c r="N13" i="7" s="1"/>
  <c r="H20" i="7"/>
  <c r="K3" i="7"/>
  <c r="J3" i="7"/>
  <c r="N3" i="7" s="1"/>
  <c r="H10" i="7"/>
  <c r="K3" i="6"/>
  <c r="J3" i="6"/>
  <c r="H15" i="6"/>
  <c r="K19" i="2"/>
  <c r="J19" i="2"/>
  <c r="N19" i="2" s="1"/>
  <c r="E6" i="14" s="1"/>
  <c r="G23" i="2"/>
  <c r="K64" i="1"/>
  <c r="H67" i="1"/>
  <c r="J64" i="1"/>
  <c r="J26" i="1"/>
  <c r="N26" i="1" s="1"/>
  <c r="H28" i="1"/>
  <c r="D15" i="14"/>
  <c r="B15" i="14"/>
  <c r="B14" i="14"/>
  <c r="D13" i="14"/>
  <c r="B13" i="14"/>
  <c r="E12" i="14"/>
  <c r="D12" i="14"/>
  <c r="B12" i="14"/>
  <c r="D11" i="14"/>
  <c r="B11" i="14"/>
  <c r="M53" i="7"/>
  <c r="D10" i="14"/>
  <c r="B10" i="14"/>
  <c r="D9" i="14"/>
  <c r="B9" i="14"/>
  <c r="E8" i="14"/>
  <c r="D8" i="14"/>
  <c r="B8" i="14"/>
  <c r="E7" i="14"/>
  <c r="D7" i="14"/>
  <c r="B7" i="14"/>
  <c r="D6" i="14"/>
  <c r="B6" i="14"/>
  <c r="D5" i="14"/>
  <c r="B5" i="14"/>
  <c r="L19" i="10"/>
  <c r="M19" i="10" s="1"/>
  <c r="N40" i="13"/>
  <c r="M40" i="13"/>
  <c r="N30" i="13"/>
  <c r="M30" i="13"/>
  <c r="M21" i="13"/>
  <c r="M12" i="13"/>
  <c r="M3" i="13"/>
  <c r="L121" i="12"/>
  <c r="M140" i="12"/>
  <c r="N129" i="12"/>
  <c r="M129" i="12"/>
  <c r="N121" i="12"/>
  <c r="M121" i="12"/>
  <c r="N95" i="12"/>
  <c r="M95" i="12"/>
  <c r="M78" i="12"/>
  <c r="M66" i="12"/>
  <c r="M55" i="12"/>
  <c r="D14" i="14" s="1"/>
  <c r="M44" i="12"/>
  <c r="M33" i="12"/>
  <c r="M23" i="12"/>
  <c r="M14" i="12"/>
  <c r="M3" i="12"/>
  <c r="N112" i="11"/>
  <c r="M112" i="11"/>
  <c r="M100" i="11"/>
  <c r="N94" i="11"/>
  <c r="M94" i="11"/>
  <c r="N84" i="11"/>
  <c r="M84" i="11"/>
  <c r="M74" i="11"/>
  <c r="N64" i="11"/>
  <c r="M64" i="11"/>
  <c r="N54" i="11"/>
  <c r="O54" i="11" s="1"/>
  <c r="M54" i="11"/>
  <c r="N44" i="11"/>
  <c r="O44" i="11" s="1"/>
  <c r="M44" i="11"/>
  <c r="N34" i="11"/>
  <c r="O34" i="11" s="1"/>
  <c r="M34" i="11"/>
  <c r="N21" i="11"/>
  <c r="O21" i="11" s="1"/>
  <c r="M21" i="11"/>
  <c r="N9" i="11"/>
  <c r="M9" i="11"/>
  <c r="N3" i="11"/>
  <c r="O3" i="11" s="1"/>
  <c r="M3" i="11"/>
  <c r="L6" i="10"/>
  <c r="N6" i="10" s="1"/>
  <c r="N40" i="10"/>
  <c r="M40" i="10"/>
  <c r="N37" i="10"/>
  <c r="O37" i="10" s="1"/>
  <c r="M37" i="10"/>
  <c r="N34" i="10"/>
  <c r="M34" i="10"/>
  <c r="N31" i="10"/>
  <c r="M31" i="10"/>
  <c r="N28" i="10"/>
  <c r="M28" i="10"/>
  <c r="N25" i="10"/>
  <c r="M25" i="10"/>
  <c r="N22" i="10"/>
  <c r="M22" i="10"/>
  <c r="N16" i="10"/>
  <c r="M16" i="10"/>
  <c r="N13" i="10"/>
  <c r="M13" i="10"/>
  <c r="N10" i="10"/>
  <c r="M10" i="10"/>
  <c r="N3" i="10"/>
  <c r="M3" i="10"/>
  <c r="N25" i="9"/>
  <c r="M25" i="9"/>
  <c r="N15" i="9"/>
  <c r="M15" i="9"/>
  <c r="N10" i="9"/>
  <c r="M10" i="9"/>
  <c r="M3" i="9"/>
  <c r="N53" i="7"/>
  <c r="M43" i="7"/>
  <c r="M23" i="7"/>
  <c r="M13" i="7"/>
  <c r="M3" i="7"/>
  <c r="N3" i="6"/>
  <c r="E9" i="14" s="1"/>
  <c r="F9" i="14" s="1"/>
  <c r="M3" i="6"/>
  <c r="N12" i="5"/>
  <c r="M12" i="5"/>
  <c r="N9" i="5"/>
  <c r="M9" i="5"/>
  <c r="N6" i="5"/>
  <c r="M6" i="5"/>
  <c r="N3" i="5"/>
  <c r="M3" i="5"/>
  <c r="N13" i="4"/>
  <c r="M13" i="4"/>
  <c r="N3" i="4"/>
  <c r="M3" i="4"/>
  <c r="M50" i="2"/>
  <c r="N50" i="2"/>
  <c r="O50" i="2" s="1"/>
  <c r="N44" i="2"/>
  <c r="M44" i="2"/>
  <c r="N40" i="2"/>
  <c r="O40" i="2" s="1"/>
  <c r="M40" i="2"/>
  <c r="N33" i="2"/>
  <c r="O33" i="2" s="1"/>
  <c r="M33" i="2"/>
  <c r="N27" i="2"/>
  <c r="M27" i="2"/>
  <c r="M19" i="2"/>
  <c r="N16" i="2"/>
  <c r="O16" i="2" s="1"/>
  <c r="M16" i="2"/>
  <c r="N13" i="2"/>
  <c r="O13" i="2" s="1"/>
  <c r="M13" i="2"/>
  <c r="N7" i="2"/>
  <c r="M7" i="2"/>
  <c r="N3" i="2"/>
  <c r="O3" i="2" s="1"/>
  <c r="M3" i="2"/>
  <c r="N74" i="1"/>
  <c r="M74" i="1"/>
  <c r="N64" i="1"/>
  <c r="M64" i="1"/>
  <c r="N57" i="1"/>
  <c r="M57" i="1"/>
  <c r="M49" i="1"/>
  <c r="N40" i="1"/>
  <c r="M40" i="1"/>
  <c r="N33" i="1"/>
  <c r="M33" i="1"/>
  <c r="M26" i="1"/>
  <c r="N19" i="1"/>
  <c r="M19" i="1"/>
  <c r="N13" i="1"/>
  <c r="M13" i="1"/>
  <c r="M3" i="1"/>
  <c r="N3" i="1"/>
  <c r="O3" i="1" s="1"/>
  <c r="N21" i="13" l="1"/>
  <c r="E15" i="14"/>
  <c r="F15" i="14" s="1"/>
  <c r="K55" i="12"/>
  <c r="N55" i="12"/>
  <c r="D17" i="14"/>
  <c r="C9" i="14" s="1"/>
  <c r="K14" i="12"/>
  <c r="N14" i="12"/>
  <c r="O14" i="12" s="1"/>
  <c r="K33" i="12"/>
  <c r="N33" i="12"/>
  <c r="O33" i="12" s="1"/>
  <c r="N78" i="12"/>
  <c r="K78" i="12"/>
  <c r="N3" i="12"/>
  <c r="O3" i="12" s="1"/>
  <c r="K3" i="12"/>
  <c r="K66" i="12"/>
  <c r="C7" i="14"/>
  <c r="C10" i="14"/>
  <c r="O95" i="12"/>
  <c r="C5" i="14"/>
  <c r="K44" i="12"/>
  <c r="K43" i="7"/>
  <c r="N23" i="7"/>
  <c r="O23" i="7" s="1"/>
  <c r="E13" i="14"/>
  <c r="F13" i="14" s="1"/>
  <c r="K3" i="9"/>
  <c r="E10" i="14"/>
  <c r="F10" i="14" s="1"/>
  <c r="O64" i="1"/>
  <c r="E5" i="14"/>
  <c r="F5" i="14" s="1"/>
  <c r="F12" i="14"/>
  <c r="F6" i="14"/>
  <c r="F8" i="14"/>
  <c r="F7" i="14"/>
  <c r="N19" i="10"/>
  <c r="O40" i="13"/>
  <c r="O30" i="13"/>
  <c r="O21" i="13"/>
  <c r="O3" i="13"/>
  <c r="O140" i="12"/>
  <c r="O129" i="12"/>
  <c r="O121" i="12"/>
  <c r="O107" i="12"/>
  <c r="O78" i="12"/>
  <c r="O55" i="12"/>
  <c r="O44" i="12"/>
  <c r="O23" i="12"/>
  <c r="O112" i="11"/>
  <c r="O100" i="11"/>
  <c r="O94" i="11"/>
  <c r="O84" i="11"/>
  <c r="O74" i="11"/>
  <c r="O64" i="11"/>
  <c r="O9" i="11"/>
  <c r="O22" i="10"/>
  <c r="O34" i="10"/>
  <c r="O25" i="10"/>
  <c r="O3" i="10"/>
  <c r="O28" i="10"/>
  <c r="O40" i="10"/>
  <c r="O19" i="10"/>
  <c r="O31" i="10"/>
  <c r="O16" i="10"/>
  <c r="O13" i="10"/>
  <c r="O10" i="10"/>
  <c r="M6" i="10"/>
  <c r="O6" i="10" s="1"/>
  <c r="O25" i="9"/>
  <c r="O15" i="9"/>
  <c r="O10" i="9"/>
  <c r="O3" i="9"/>
  <c r="O53" i="7"/>
  <c r="O43" i="7"/>
  <c r="O13" i="7"/>
  <c r="O3" i="7"/>
  <c r="O3" i="6"/>
  <c r="O9" i="5"/>
  <c r="O12" i="5"/>
  <c r="O6" i="5"/>
  <c r="O3" i="5"/>
  <c r="O13" i="4"/>
  <c r="O3" i="4"/>
  <c r="O44" i="2"/>
  <c r="O27" i="2"/>
  <c r="O19" i="2"/>
  <c r="O7" i="2"/>
  <c r="O74" i="1"/>
  <c r="O19" i="1"/>
  <c r="O57" i="1"/>
  <c r="O26" i="1"/>
  <c r="O33" i="1"/>
  <c r="O49" i="1"/>
  <c r="O40" i="1"/>
  <c r="O13" i="1"/>
  <c r="E14" i="14" l="1"/>
  <c r="F14" i="14" s="1"/>
  <c r="C8" i="14"/>
  <c r="C13" i="14"/>
  <c r="C15" i="14"/>
  <c r="C11" i="14"/>
  <c r="C6" i="14"/>
  <c r="C14" i="14"/>
  <c r="C12" i="14"/>
  <c r="E17" i="14" l="1"/>
  <c r="F17" i="14" s="1"/>
</calcChain>
</file>

<file path=xl/sharedStrings.xml><?xml version="1.0" encoding="utf-8"?>
<sst xmlns="http://schemas.openxmlformats.org/spreadsheetml/2006/main" count="6984" uniqueCount="261">
  <si>
    <t>Period: 01/01/2026 – 31/01/2026</t>
  </si>
  <si>
    <t>Dish Name</t>
  </si>
  <si>
    <t>Category</t>
  </si>
  <si>
    <t>Component</t>
  </si>
  <si>
    <t>Type</t>
  </si>
  <si>
    <t>Qty</t>
  </si>
  <si>
    <t>Unit</t>
  </si>
  <si>
    <t>Unit Price (₪)</t>
  </si>
  <si>
    <t>Component Total (₪)</t>
  </si>
  <si>
    <t>Selling Price (₪)</t>
  </si>
  <si>
    <t>Unit Cost (₪)</t>
  </si>
  <si>
    <t>COGS %</t>
  </si>
  <si>
    <t>Qty Sold</t>
  </si>
  <si>
    <t>Sales Revenue (₪)</t>
  </si>
  <si>
    <t>Theoretical Food Cost (₪)</t>
  </si>
  <si>
    <t>COGS % on Sales</t>
  </si>
  <si>
    <t xml:space="preserve">carpaccio special </t>
  </si>
  <si>
    <t>Appetizers</t>
  </si>
  <si>
    <t/>
  </si>
  <si>
    <t>רכז רימונים גלון 4 ק"ג</t>
  </si>
  <si>
    <t>Item</t>
  </si>
  <si>
    <t>kg</t>
  </si>
  <si>
    <t>רימון</t>
  </si>
  <si>
    <t>גבינת פרמזן איטלקי</t>
  </si>
  <si>
    <t>פלפל שחור גרוס</t>
  </si>
  <si>
    <t>מלח שולחן</t>
  </si>
  <si>
    <t>לחמניית המבורגר עגולה רגילה 100 גרם</t>
  </si>
  <si>
    <t>unit</t>
  </si>
  <si>
    <t>רוקט</t>
  </si>
  <si>
    <t>קרפצ׳יו מנה</t>
  </si>
  <si>
    <t>אריזה</t>
  </si>
  <si>
    <t>Temporary</t>
  </si>
  <si>
    <t>units</t>
  </si>
  <si>
    <t>קוביות חזה עוף</t>
  </si>
  <si>
    <t>פירי פירי</t>
  </si>
  <si>
    <t>Recipe</t>
  </si>
  <si>
    <t>Kg</t>
  </si>
  <si>
    <t>רוטב צ׳ילי מתוק</t>
  </si>
  <si>
    <t>שומשום</t>
  </si>
  <si>
    <t>ציפוי לכנפיים</t>
  </si>
  <si>
    <t>כנפיים</t>
  </si>
  <si>
    <t>מיני צ׳יזי סטיק</t>
  </si>
  <si>
    <t>אורז תפוח</t>
  </si>
  <si>
    <t>מוצרלה אצבעות</t>
  </si>
  <si>
    <t>איולי צ׳יפוטלה</t>
  </si>
  <si>
    <t>פוריטו רביולי</t>
  </si>
  <si>
    <t>בזיליקום</t>
  </si>
  <si>
    <t>שמנת פלפלת</t>
  </si>
  <si>
    <t>שמנת פטריות</t>
  </si>
  <si>
    <t>ציפוי לקריספי</t>
  </si>
  <si>
    <t>רביולי 4 גבינות -דיאורו</t>
  </si>
  <si>
    <t>פתה לחמה</t>
  </si>
  <si>
    <t>שקד מולבן</t>
  </si>
  <si>
    <t>רוטב יוגורט טחינה</t>
  </si>
  <si>
    <t>צנובר</t>
  </si>
  <si>
    <t>חומוס שלם (גרגרים)</t>
  </si>
  <si>
    <t>בשר לרול מקסיקני</t>
  </si>
  <si>
    <t>צ׳יזי סטיק</t>
  </si>
  <si>
    <t>צ'יפס אסאדו</t>
  </si>
  <si>
    <t>10*10 קריספי פלוס (פרימיום) 2.5/4</t>
  </si>
  <si>
    <t>בשר לאסאדו</t>
  </si>
  <si>
    <t>שום קונפי</t>
  </si>
  <si>
    <t>צ׳ימיצ׳ורי</t>
  </si>
  <si>
    <t>שמפניון מוקפץ</t>
  </si>
  <si>
    <t>פטריות שמפניון</t>
  </si>
  <si>
    <t>בוטנים מטוגנים גרוסים 1 ק"ג</t>
  </si>
  <si>
    <t>שעועית ירוקה עדינה מאוד 2.5 ק"</t>
  </si>
  <si>
    <t>קמח תפוחי אדמה</t>
  </si>
  <si>
    <t>רוטב צ׳ילי טריאקי</t>
  </si>
  <si>
    <t>בטטה קריספי</t>
  </si>
  <si>
    <t>beside the burger</t>
  </si>
  <si>
    <t>גולד צ׳יפס בטטה קריספי 1 ק״ג/10</t>
  </si>
  <si>
    <t xml:space="preserve">הום פרייז x </t>
  </si>
  <si>
    <t>פוטטוס צ׳יפס מובחר 2.5ק״ג/4</t>
  </si>
  <si>
    <t>חמאת שום קונפי</t>
  </si>
  <si>
    <t>לחמניה</t>
  </si>
  <si>
    <t>לחמניה ללא גלוטן</t>
  </si>
  <si>
    <t>לחמניות ללא גלוטן (מכירה)</t>
  </si>
  <si>
    <t>מיקס מטוגן</t>
  </si>
  <si>
    <t>טבעות בצל</t>
  </si>
  <si>
    <t>כדורי פירה</t>
  </si>
  <si>
    <t>תבלין פילדלפיה</t>
  </si>
  <si>
    <t>פוטטו חמאת צ׳ילי הדרים</t>
  </si>
  <si>
    <t>פטרוזיליה קצוצה</t>
  </si>
  <si>
    <t>שמן חמניות 5 ליטר</t>
  </si>
  <si>
    <t>L</t>
  </si>
  <si>
    <t>תוספת צ׳יפס למנה</t>
  </si>
  <si>
    <t>7 up</t>
  </si>
  <si>
    <t>Beverages</t>
  </si>
  <si>
    <t>סבן אפ פחית צרה 330 שישייה ח</t>
  </si>
  <si>
    <t>7 up פחית</t>
  </si>
  <si>
    <t>sprite zero</t>
  </si>
  <si>
    <t>סליק ספרייט LIME   מבצע</t>
  </si>
  <si>
    <t>אקסל</t>
  </si>
  <si>
    <t>XL פחית</t>
  </si>
  <si>
    <t>ג'ינג'ר אייל</t>
  </si>
  <si>
    <t>ג'ינג'ר אייל  בקבוק</t>
  </si>
  <si>
    <t>מי טוניק</t>
  </si>
  <si>
    <t>מי טוניק  בקבוק</t>
  </si>
  <si>
    <t>מים מינרלים</t>
  </si>
  <si>
    <t>סן בנדטו 500 מ"ל 4 שישיות</t>
  </si>
  <si>
    <t>מיץ ענבים</t>
  </si>
  <si>
    <t>ג'אמפ אקסטרה פרוט ענבים 330 בק' 24 יח</t>
  </si>
  <si>
    <t>מיץ תות</t>
  </si>
  <si>
    <t>ג'אמפ אקסטרה פרוט תות בננה 330 בק' 24 יח</t>
  </si>
  <si>
    <t>מיץ תפוזים</t>
  </si>
  <si>
    <t>ג'אמפ אקסטרה פרוט תפוזים 330 בק' 24 יח</t>
  </si>
  <si>
    <t>מירנדה פחית</t>
  </si>
  <si>
    <t>מירינדה פחית צרה 330 שישייה ח</t>
  </si>
  <si>
    <t>נסטי</t>
  </si>
  <si>
    <t>שרינק FUZE tea אפרסק - 0.5 ליטר</t>
  </si>
  <si>
    <t>סודה</t>
  </si>
  <si>
    <t>סודה 275 מ"ל בקבוק 24 יח'</t>
  </si>
  <si>
    <t>פפסי מקס פחית</t>
  </si>
  <si>
    <t>פפסי מקס פחית צרה 330 שישייה ח</t>
  </si>
  <si>
    <t>פפסי פחית</t>
  </si>
  <si>
    <t>פפסי 330 פחית צרה שישייה ח</t>
  </si>
  <si>
    <t>קולה זירו פחית</t>
  </si>
  <si>
    <t>סליק קולה 330 ZERO מ מבע</t>
  </si>
  <si>
    <t>קולה פחית</t>
  </si>
  <si>
    <t>בורגר ילדים</t>
  </si>
  <si>
    <t>children</t>
  </si>
  <si>
    <t>בשר מתובל להמבורגר</t>
  </si>
  <si>
    <t>רוטב איולי חרדל</t>
  </si>
  <si>
    <t>מלפפון חמוץ</t>
  </si>
  <si>
    <t>חסה אייסברג להמבורגר</t>
  </si>
  <si>
    <t>עגבניה</t>
  </si>
  <si>
    <t>המבורגר עגולה ילדים 85 גרם</t>
  </si>
  <si>
    <t>שניצל ילדים</t>
  </si>
  <si>
    <t>חזה עוף פרוס</t>
  </si>
  <si>
    <t>מרינדה לשניצל</t>
  </si>
  <si>
    <t>פרורי לחם כתומים</t>
  </si>
  <si>
    <t>הגדלה 150 גרם</t>
  </si>
  <si>
    <t>enlarge burger</t>
  </si>
  <si>
    <t>הגדלה ל 220 גרם</t>
  </si>
  <si>
    <t>הגדלה ל 300 גרם</t>
  </si>
  <si>
    <t>הגדלה ל 450 גרם</t>
  </si>
  <si>
    <t>family</t>
  </si>
  <si>
    <t>מארז צ׳יפס</t>
  </si>
  <si>
    <t>בוקס בורגר משפחתי 50 יח קריספי</t>
  </si>
  <si>
    <t>גבינת גאודה</t>
  </si>
  <si>
    <t>hamburgers</t>
  </si>
  <si>
    <t>חסה להמבורגרים</t>
  </si>
  <si>
    <t>בצל מקולף</t>
  </si>
  <si>
    <t>המבורגר צמחוני</t>
  </si>
  <si>
    <t>תערובת להמבורגר צמחוני</t>
  </si>
  <si>
    <t>Long box סלט גבינה (חצי)</t>
  </si>
  <si>
    <t>long box</t>
  </si>
  <si>
    <t>מארז קרטון שני מקום עם חלון CRICPY&amp;THE X</t>
  </si>
  <si>
    <t>מלפפון</t>
  </si>
  <si>
    <t>תערובת חסה לסלט</t>
  </si>
  <si>
    <t>ויניגרט נענע</t>
  </si>
  <si>
    <t>זיתי קלמטה מגולענים</t>
  </si>
  <si>
    <t>עגבניות שרי</t>
  </si>
  <si>
    <t>גבינת פטה</t>
  </si>
  <si>
    <t>Long box סלט קינואה (חצי)</t>
  </si>
  <si>
    <t>קינואה בורגול</t>
  </si>
  <si>
    <t>חמוציות</t>
  </si>
  <si>
    <t>שקד מולבן פרוס 10 ק"ג - ח</t>
  </si>
  <si>
    <t>אסאדו פירה</t>
  </si>
  <si>
    <t>on a plate</t>
  </si>
  <si>
    <t>פירה</t>
  </si>
  <si>
    <t>חזה עוף בצלחת</t>
  </si>
  <si>
    <t>מרגיז פירה</t>
  </si>
  <si>
    <t>מטבוחה</t>
  </si>
  <si>
    <t>בצל מטוגן</t>
  </si>
  <si>
    <t>מרגז</t>
  </si>
  <si>
    <t>פטריות מטוגנות</t>
  </si>
  <si>
    <t>אסאדו</t>
  </si>
  <si>
    <t>on top of</t>
  </si>
  <si>
    <t>אקסטרה עוף</t>
  </si>
  <si>
    <t>מרינדה לצ׳יקן</t>
  </si>
  <si>
    <t>אקסטרה פטה</t>
  </si>
  <si>
    <t>ריבת שרי</t>
  </si>
  <si>
    <t>בצל מוחמץ</t>
  </si>
  <si>
    <t>קנאפה מוצרלה</t>
  </si>
  <si>
    <t>ריבת בצל</t>
  </si>
  <si>
    <t>ת.אנטרקוט</t>
  </si>
  <si>
    <t>אנטרקוט</t>
  </si>
  <si>
    <t>אננס בסירופ</t>
  </si>
  <si>
    <t>ת.ביצת עין</t>
  </si>
  <si>
    <t>ביצים M - מארז 30 יח'</t>
  </si>
  <si>
    <t>ת.גבינת גאודה</t>
  </si>
  <si>
    <t>ת.גבינת צ׳דר</t>
  </si>
  <si>
    <t>גבינת צ׳דר</t>
  </si>
  <si>
    <t>ת.גוואקמולי</t>
  </si>
  <si>
    <t>אבוקדו טבעי 1 ק״ג קפוא</t>
  </si>
  <si>
    <t xml:space="preserve"> סלט קינואה בורגול קטן</t>
  </si>
  <si>
    <t>Salads</t>
  </si>
  <si>
    <t xml:space="preserve"> סלט קריספי קטן</t>
  </si>
  <si>
    <t>סלט זהרתנה</t>
  </si>
  <si>
    <t>כרובית</t>
  </si>
  <si>
    <t>ויניגרט רימונים</t>
  </si>
  <si>
    <t>סלט חלומי גדול</t>
  </si>
  <si>
    <t>גבינת חלומי</t>
  </si>
  <si>
    <t>סלט חלומי קטן</t>
  </si>
  <si>
    <t>סלט עוף גדול</t>
  </si>
  <si>
    <t>בייבי מיקס 0.5  כשר רבנות</t>
  </si>
  <si>
    <t>צ׳יפס בטטה</t>
  </si>
  <si>
    <t>סלט עוף קטן</t>
  </si>
  <si>
    <t>סלט קינואה בורגול גדול</t>
  </si>
  <si>
    <t>סלט קריספי גדול</t>
  </si>
  <si>
    <t>סלטתנה</t>
  </si>
  <si>
    <t>פסטו</t>
  </si>
  <si>
    <t>פלפל שחור טחון</t>
  </si>
  <si>
    <t>פלפל חריף</t>
  </si>
  <si>
    <t>סלק אדום מבושל</t>
  </si>
  <si>
    <t>לימון</t>
  </si>
  <si>
    <t xml:space="preserve"> the x 220</t>
  </si>
  <si>
    <t>special burger</t>
  </si>
  <si>
    <t>smash בורגר</t>
  </si>
  <si>
    <t>צהובה גאודה פרוס (שקיל)</t>
  </si>
  <si>
    <t>רוטב טרטר</t>
  </si>
  <si>
    <t>the lobs-burger</t>
  </si>
  <si>
    <t>ברבקיו</t>
  </si>
  <si>
    <t>וולפאק קטשופ</t>
  </si>
  <si>
    <t>the x</t>
  </si>
  <si>
    <t>אסאדו בורגר</t>
  </si>
  <si>
    <t>דאון טאון בורגר</t>
  </si>
  <si>
    <t>מעדן אווז</t>
  </si>
  <si>
    <t>טוקיו בורגר</t>
  </si>
  <si>
    <t>KG נבטים סיניים</t>
  </si>
  <si>
    <t>מוצרלה מגורדת 2 ק"ג ארלה</t>
  </si>
  <si>
    <t>מקסיקנו בורגר</t>
  </si>
  <si>
    <t>פנצ׳טה בורגר</t>
  </si>
  <si>
    <t>פנצ׳טה</t>
  </si>
  <si>
    <t>צ׳יזי מיקס בורגר</t>
  </si>
  <si>
    <t>קנאפה בורגר</t>
  </si>
  <si>
    <t>קריספי קראנץ</t>
  </si>
  <si>
    <t>פילה עוף</t>
  </si>
  <si>
    <t>איולי פסטו</t>
  </si>
  <si>
    <t>אלקבבג׳י רול</t>
  </si>
  <si>
    <t>wraps</t>
  </si>
  <si>
    <t>טורטיה 30 ס"מ טבעי</t>
  </si>
  <si>
    <t>רול מקסיקאני</t>
  </si>
  <si>
    <t>רול עוף</t>
  </si>
  <si>
    <t>רול שניצל</t>
  </si>
  <si>
    <t>Dishes Cost &amp; Sales Summary</t>
  </si>
  <si>
    <t>% of Total Sales</t>
  </si>
  <si>
    <t>TOTAL</t>
  </si>
  <si>
    <t>כנפיים קריספי</t>
  </si>
  <si>
    <t>קריספי צ׳יקן קטן</t>
  </si>
  <si>
    <t>קריספי צ׳יקן</t>
  </si>
  <si>
    <t>צ׳יפס המפנק</t>
  </si>
  <si>
    <t>צ'יפס פילדלפיה קטן</t>
  </si>
  <si>
    <t>צ'יפס פילדלפיה גדול</t>
  </si>
  <si>
    <t>Crispy package small</t>
  </si>
  <si>
    <t>220  קלאסי בורגר</t>
  </si>
  <si>
    <t>קלאסיק בורגר 150</t>
  </si>
  <si>
    <t>קלאסי בורגר  110</t>
  </si>
  <si>
    <t>קלאסי בורגר  300</t>
  </si>
  <si>
    <t>קלאסי 450</t>
  </si>
  <si>
    <t>קריספי קראנץ בצלחת</t>
  </si>
  <si>
    <t>תוספת אסאדו</t>
  </si>
  <si>
    <t>תוספת ריבת שרי</t>
  </si>
  <si>
    <t>תוספת ריבת בצל</t>
  </si>
  <si>
    <t>תוספת אננס</t>
  </si>
  <si>
    <t>סלט גבינה גדול</t>
  </si>
  <si>
    <t>סלט גבינה קטן</t>
  </si>
  <si>
    <t>Bucher's</t>
  </si>
  <si>
    <t>רול קריספי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</si>
</sst>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₪#,##0.00"/>
    <numFmt numFmtId="165" formatCode="0.0%"/>
    <numFmt numFmtId="166" formatCode="0.###"/>
    <numFmt numFmtId="167" formatCode="\₪#,##0.000"/>
  </numFmts>
  <fonts count="12" x14ac:knownFonts="1">
    <font>
      <sz val="11"/>
      <color theme="1"/>
      <name val="Arial"/>
      <family val="2"/>
      <scheme val="minor"/>
    </font>
    <font>
      <i/>
      <sz val="11"/>
      <color rgb="FF555555"/>
      <name val="Arial"/>
      <family val="2"/>
    </font>
    <font>
      <b/>
      <sz val="11"/>
      <color rgb="FFFFFFFF"/>
      <name val="Arial"/>
      <family val="2"/>
    </font>
    <font>
      <b/>
      <sz val="11"/>
      <name val="Arial"/>
      <family val="2"/>
    </font>
    <font>
      <b/>
      <sz val="11"/>
      <color rgb="FFB8860B"/>
      <name val="Arial"/>
      <family val="2"/>
    </font>
    <font>
      <i/>
      <sz val="11"/>
      <name val="Arial"/>
      <family val="2"/>
    </font>
    <font>
      <sz val="10"/>
      <color rgb="FF666666"/>
      <name val="Arial"/>
      <family val="2"/>
    </font>
    <font>
      <b/>
      <sz val="11"/>
      <color rgb="FF207245"/>
      <name val="Arial"/>
      <family val="2"/>
    </font>
    <font>
      <b/>
      <sz val="11"/>
      <color rgb="FFCC0000"/>
      <name val="Arial"/>
      <family val="2"/>
    </font>
    <font>
      <b/>
      <sz val="16"/>
      <name val="Arial"/>
      <family val="2"/>
    </font>
    <font>
      <b/>
      <sz val="11"/>
      <color theme="1"/>
      <name val="Arial (גוף)"/>
      <charset val="177"/>
    </font>
    <font>
      <sz val="11"/>
      <color theme="1"/>
      <name val="Arial (גוף)"/>
      <charset val="177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/>
      <right/>
      <top/>
      <bottom style="thin">
        <color rgb="FFAAAAAA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vertical="center"/>
    </xf>
    <xf numFmtId="164" fontId="3" fillId="3" borderId="0" xfId="0" applyNumberFormat="1" applyFont="1" applyFill="1" applyAlignment="1">
      <alignment vertical="center"/>
    </xf>
    <xf numFmtId="165" fontId="4" fillId="3" borderId="0" xfId="0" applyNumberFormat="1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5" fillId="0" borderId="0" xfId="0" applyFont="1"/>
    <xf numFmtId="0" fontId="6" fillId="0" borderId="0" xfId="0" applyFont="1"/>
    <xf numFmtId="166" fontId="0" fillId="0" borderId="0" xfId="0" applyNumberFormat="1"/>
    <xf numFmtId="167" fontId="0" fillId="0" borderId="0" xfId="0" applyNumberFormat="1"/>
    <xf numFmtId="164" fontId="0" fillId="0" borderId="0" xfId="0" applyNumberFormat="1"/>
    <xf numFmtId="165" fontId="7" fillId="3" borderId="0" xfId="0" applyNumberFormat="1" applyFont="1" applyFill="1" applyAlignment="1">
      <alignment vertical="center"/>
    </xf>
    <xf numFmtId="165" fontId="3" fillId="3" borderId="0" xfId="0" applyNumberFormat="1" applyFont="1" applyFill="1" applyAlignment="1">
      <alignment vertical="center"/>
    </xf>
    <xf numFmtId="165" fontId="8" fillId="3" borderId="0" xfId="0" applyNumberFormat="1" applyFont="1" applyFill="1" applyAlignment="1">
      <alignment vertical="center"/>
    </xf>
    <xf numFmtId="0" fontId="3" fillId="0" borderId="0" xfId="0" applyFont="1"/>
    <xf numFmtId="165" fontId="7" fillId="0" borderId="0" xfId="0" applyNumberFormat="1" applyFont="1"/>
    <xf numFmtId="3" fontId="0" fillId="0" borderId="0" xfId="0" applyNumberFormat="1"/>
    <xf numFmtId="165" fontId="0" fillId="0" borderId="0" xfId="0" applyNumberFormat="1"/>
    <xf numFmtId="0" fontId="2" fillId="2" borderId="0" xfId="0" applyFont="1" applyFill="1" applyAlignment="1">
      <alignment vertical="center"/>
    </xf>
    <xf numFmtId="164" fontId="2" fillId="2" borderId="0" xfId="0" applyNumberFormat="1" applyFont="1" applyFill="1" applyAlignment="1">
      <alignment vertical="center"/>
    </xf>
    <xf numFmtId="165" fontId="2" fillId="2" borderId="0" xfId="0" applyNumberFormat="1" applyFont="1" applyFill="1" applyAlignment="1">
      <alignment vertical="center"/>
    </xf>
    <xf numFmtId="3" fontId="2" fillId="2" borderId="0" xfId="0" applyNumberFormat="1" applyFont="1" applyFill="1" applyAlignment="1">
      <alignment vertical="center"/>
    </xf>
    <xf numFmtId="0" fontId="9" fillId="0" borderId="0" xfId="0" applyFont="1"/>
    <xf numFmtId="0" fontId="1" fillId="0" borderId="0" xfId="0" applyFont="1"/>
    <xf numFmtId="0" fontId="10" fillId="2" borderId="1" xfId="0" applyFont="1" applyFill="1" applyBorder="1" applyAlignment="1">
      <alignment horizontal="center" vertical="center" wrapText="1"/>
    </xf>
    <xf numFmtId="165" fontId="10" fillId="3" borderId="0" xfId="0" applyNumberFormat="1" applyFont="1" applyFill="1" applyAlignment="1">
      <alignment vertical="center"/>
    </xf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0"/>
  <sheetViews>
    <sheetView topLeftCell="C1" workbookViewId="0">
      <pane ySplit="2" topLeftCell="A32" activePane="bottomLeft" state="frozen"/>
      <selection pane="bottomLeft" activeCell="I52" sqref="I52"/>
    </sheetView>
    <sheetView workbookViewId="1">
      <selection sqref="A1:O1"/>
    </sheetView>
  </sheetViews>
  <sheetFormatPr baseColWidth="10" defaultColWidth="8.83203125" defaultRowHeight="14" x14ac:dyDescent="0.15"/>
  <cols>
    <col min="1" max="1" width="28" customWidth="1"/>
    <col min="2" max="2" width="16" customWidth="1"/>
    <col min="3" max="3" width="28" customWidth="1"/>
    <col min="4" max="4" width="12" customWidth="1"/>
    <col min="5" max="6" width="8" customWidth="1"/>
    <col min="7" max="7" width="14" customWidth="1"/>
    <col min="8" max="9" width="18" customWidth="1"/>
    <col min="10" max="10" width="14" customWidth="1"/>
    <col min="11" max="12" width="10" customWidth="1"/>
    <col min="13" max="13" width="20" customWidth="1"/>
    <col min="14" max="14" width="24" customWidth="1"/>
    <col min="15" max="15" width="16" customWidth="1"/>
  </cols>
  <sheetData>
    <row r="1" spans="1:15" ht="18" customHeight="1" x14ac:dyDescent="0.15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</row>
    <row r="2" spans="1:15" ht="32" customHeight="1" x14ac:dyDescent="0.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 spans="1:15" ht="20" customHeight="1" x14ac:dyDescent="0.15">
      <c r="A3" s="2" t="s">
        <v>16</v>
      </c>
      <c r="B3" s="2" t="s">
        <v>17</v>
      </c>
      <c r="C3" s="2" t="s">
        <v>18</v>
      </c>
      <c r="D3" s="2" t="s">
        <v>18</v>
      </c>
      <c r="E3" s="2" t="s">
        <v>18</v>
      </c>
      <c r="F3" s="2" t="s">
        <v>18</v>
      </c>
      <c r="G3" s="2" t="s">
        <v>18</v>
      </c>
      <c r="H3" s="2" t="s">
        <v>18</v>
      </c>
      <c r="I3" s="3">
        <v>62</v>
      </c>
      <c r="J3" s="3">
        <v>16.841439999999999</v>
      </c>
      <c r="K3" s="4">
        <v>0.3205306322580645</v>
      </c>
      <c r="L3" s="5">
        <v>111</v>
      </c>
      <c r="M3" s="3">
        <f>L3*(I3/1.18)</f>
        <v>5832.203389830509</v>
      </c>
      <c r="N3" s="3">
        <f>L3*J3</f>
        <v>1869.3998399999998</v>
      </c>
      <c r="O3" s="4">
        <f>N3/M3</f>
        <v>0.32053063225806444</v>
      </c>
    </row>
    <row r="4" spans="1:15" ht="18" customHeight="1" x14ac:dyDescent="0.15">
      <c r="A4" t="s">
        <v>18</v>
      </c>
      <c r="B4" t="s">
        <v>18</v>
      </c>
      <c r="C4" s="6" t="s">
        <v>19</v>
      </c>
      <c r="D4" s="7" t="s">
        <v>20</v>
      </c>
      <c r="E4" s="8">
        <v>0.01</v>
      </c>
      <c r="F4" t="s">
        <v>21</v>
      </c>
      <c r="G4" s="9">
        <v>22</v>
      </c>
      <c r="H4" s="10">
        <v>0.22</v>
      </c>
      <c r="I4" t="s">
        <v>18</v>
      </c>
      <c r="J4" t="s">
        <v>18</v>
      </c>
      <c r="K4" t="s">
        <v>18</v>
      </c>
      <c r="O4" t="s">
        <v>18</v>
      </c>
    </row>
    <row r="5" spans="1:15" ht="18" customHeight="1" x14ac:dyDescent="0.15">
      <c r="A5" t="s">
        <v>18</v>
      </c>
      <c r="B5" t="s">
        <v>18</v>
      </c>
      <c r="C5" s="6" t="s">
        <v>22</v>
      </c>
      <c r="D5" s="7" t="s">
        <v>20</v>
      </c>
      <c r="E5" s="8">
        <v>0.05</v>
      </c>
      <c r="F5" t="s">
        <v>21</v>
      </c>
      <c r="G5" s="9">
        <v>15</v>
      </c>
      <c r="H5" s="10">
        <v>0.75</v>
      </c>
      <c r="I5" t="s">
        <v>18</v>
      </c>
      <c r="K5" t="s">
        <v>18</v>
      </c>
      <c r="M5" t="s">
        <v>18</v>
      </c>
      <c r="O5" t="s">
        <v>18</v>
      </c>
    </row>
    <row r="6" spans="1:15" ht="18" customHeight="1" x14ac:dyDescent="0.15">
      <c r="A6" t="s">
        <v>18</v>
      </c>
      <c r="B6" t="s">
        <v>18</v>
      </c>
      <c r="C6" s="6" t="s">
        <v>23</v>
      </c>
      <c r="D6" s="7" t="s">
        <v>20</v>
      </c>
      <c r="E6" s="8">
        <v>0.05</v>
      </c>
      <c r="F6" t="s">
        <v>21</v>
      </c>
      <c r="G6" s="9">
        <v>68</v>
      </c>
      <c r="H6" s="10">
        <v>3.4000000000000004</v>
      </c>
      <c r="I6" t="s">
        <v>18</v>
      </c>
      <c r="J6" t="s">
        <v>18</v>
      </c>
      <c r="K6" t="s">
        <v>18</v>
      </c>
      <c r="L6" t="s">
        <v>18</v>
      </c>
      <c r="M6" t="s">
        <v>18</v>
      </c>
      <c r="N6" t="s">
        <v>18</v>
      </c>
      <c r="O6" t="s">
        <v>18</v>
      </c>
    </row>
    <row r="7" spans="1:15" ht="18" customHeight="1" x14ac:dyDescent="0.15">
      <c r="A7" t="s">
        <v>18</v>
      </c>
      <c r="B7" t="s">
        <v>18</v>
      </c>
      <c r="C7" s="6" t="s">
        <v>24</v>
      </c>
      <c r="D7" s="7" t="s">
        <v>20</v>
      </c>
      <c r="E7" s="8">
        <v>1E-3</v>
      </c>
      <c r="F7" t="s">
        <v>21</v>
      </c>
      <c r="G7" s="9">
        <v>45</v>
      </c>
      <c r="H7" s="10">
        <v>4.4999999999999998E-2</v>
      </c>
      <c r="I7" t="s">
        <v>18</v>
      </c>
      <c r="J7" t="s">
        <v>18</v>
      </c>
      <c r="K7" t="s">
        <v>18</v>
      </c>
      <c r="L7" t="s">
        <v>18</v>
      </c>
      <c r="M7" t="s">
        <v>18</v>
      </c>
      <c r="N7" t="s">
        <v>18</v>
      </c>
      <c r="O7" t="s">
        <v>18</v>
      </c>
    </row>
    <row r="8" spans="1:15" ht="18" customHeight="1" x14ac:dyDescent="0.15">
      <c r="A8" t="s">
        <v>18</v>
      </c>
      <c r="B8" t="s">
        <v>18</v>
      </c>
      <c r="C8" s="6" t="s">
        <v>25</v>
      </c>
      <c r="D8" s="7" t="s">
        <v>20</v>
      </c>
      <c r="E8" s="8">
        <v>1E-3</v>
      </c>
      <c r="F8" t="s">
        <v>21</v>
      </c>
      <c r="G8" s="9">
        <v>1.44</v>
      </c>
      <c r="H8" s="10">
        <v>1.4399999999999999E-3</v>
      </c>
      <c r="I8" t="s">
        <v>18</v>
      </c>
      <c r="J8" t="s">
        <v>18</v>
      </c>
      <c r="K8" t="s">
        <v>18</v>
      </c>
      <c r="L8" t="s">
        <v>18</v>
      </c>
      <c r="M8" t="s">
        <v>18</v>
      </c>
      <c r="N8" t="s">
        <v>18</v>
      </c>
      <c r="O8" t="s">
        <v>18</v>
      </c>
    </row>
    <row r="9" spans="1:15" ht="18" customHeight="1" x14ac:dyDescent="0.15">
      <c r="A9" t="s">
        <v>18</v>
      </c>
      <c r="B9" t="s">
        <v>18</v>
      </c>
      <c r="C9" s="6" t="s">
        <v>26</v>
      </c>
      <c r="D9" s="7" t="s">
        <v>20</v>
      </c>
      <c r="E9" s="8">
        <v>1</v>
      </c>
      <c r="F9" t="s">
        <v>27</v>
      </c>
      <c r="G9" s="9">
        <v>2.35</v>
      </c>
      <c r="H9" s="10">
        <v>2.35</v>
      </c>
      <c r="I9" t="s">
        <v>18</v>
      </c>
      <c r="J9" t="s">
        <v>18</v>
      </c>
      <c r="K9" t="s">
        <v>18</v>
      </c>
      <c r="L9" t="s">
        <v>18</v>
      </c>
      <c r="M9" t="s">
        <v>18</v>
      </c>
      <c r="N9" t="s">
        <v>18</v>
      </c>
      <c r="O9" t="s">
        <v>18</v>
      </c>
    </row>
    <row r="10" spans="1:15" ht="18" customHeight="1" x14ac:dyDescent="0.15">
      <c r="A10" t="s">
        <v>18</v>
      </c>
      <c r="B10" t="s">
        <v>18</v>
      </c>
      <c r="C10" s="6" t="s">
        <v>28</v>
      </c>
      <c r="D10" s="7" t="s">
        <v>20</v>
      </c>
      <c r="E10" s="8">
        <v>0.03</v>
      </c>
      <c r="F10" t="s">
        <v>27</v>
      </c>
      <c r="G10" s="9">
        <v>2.5</v>
      </c>
      <c r="H10" s="10">
        <v>7.4999999999999997E-2</v>
      </c>
      <c r="I10" t="s">
        <v>18</v>
      </c>
      <c r="J10" t="s">
        <v>18</v>
      </c>
      <c r="K10" t="s">
        <v>18</v>
      </c>
      <c r="L10" t="s">
        <v>18</v>
      </c>
      <c r="M10" t="s">
        <v>18</v>
      </c>
      <c r="N10" t="s">
        <v>18</v>
      </c>
      <c r="O10" t="s">
        <v>18</v>
      </c>
    </row>
    <row r="11" spans="1:15" ht="18" customHeight="1" x14ac:dyDescent="0.15">
      <c r="A11" t="s">
        <v>18</v>
      </c>
      <c r="B11" t="s">
        <v>18</v>
      </c>
      <c r="C11" s="6" t="s">
        <v>29</v>
      </c>
      <c r="D11" s="7" t="s">
        <v>20</v>
      </c>
      <c r="E11" s="8">
        <v>1</v>
      </c>
      <c r="F11" t="s">
        <v>27</v>
      </c>
      <c r="G11" s="9">
        <v>10</v>
      </c>
      <c r="H11" s="10">
        <v>10</v>
      </c>
      <c r="I11" t="s">
        <v>18</v>
      </c>
      <c r="J11" t="s">
        <v>18</v>
      </c>
      <c r="K11" t="s">
        <v>18</v>
      </c>
      <c r="L11" t="s">
        <v>18</v>
      </c>
      <c r="M11" t="s">
        <v>18</v>
      </c>
      <c r="N11" t="s">
        <v>18</v>
      </c>
      <c r="O11" t="s">
        <v>18</v>
      </c>
    </row>
    <row r="13" spans="1:15" ht="20" customHeight="1" x14ac:dyDescent="0.15">
      <c r="A13" s="2" t="s">
        <v>240</v>
      </c>
      <c r="B13" s="2" t="s">
        <v>17</v>
      </c>
      <c r="C13" s="2" t="s">
        <v>18</v>
      </c>
      <c r="D13" s="2" t="s">
        <v>18</v>
      </c>
      <c r="E13" s="2" t="s">
        <v>18</v>
      </c>
      <c r="F13" s="2" t="s">
        <v>18</v>
      </c>
      <c r="G13" s="2" t="s">
        <v>18</v>
      </c>
      <c r="H13" s="2" t="s">
        <v>18</v>
      </c>
      <c r="I13" s="3">
        <v>35</v>
      </c>
      <c r="J13" s="3">
        <v>4.5268199999999998</v>
      </c>
      <c r="K13" s="11">
        <v>0.15261850285714285</v>
      </c>
      <c r="L13" s="5">
        <v>407</v>
      </c>
      <c r="M13" s="3">
        <f>L13*(I13/1.18)</f>
        <v>12072.033898305084</v>
      </c>
      <c r="N13" s="3">
        <f>L13*J13</f>
        <v>1842.4157399999999</v>
      </c>
      <c r="O13" s="4">
        <f>N13/M13</f>
        <v>0.15261850285714285</v>
      </c>
    </row>
    <row r="14" spans="1:15" ht="18" customHeight="1" x14ac:dyDescent="0.15">
      <c r="A14" t="s">
        <v>18</v>
      </c>
      <c r="B14" t="s">
        <v>18</v>
      </c>
      <c r="C14" s="6" t="s">
        <v>38</v>
      </c>
      <c r="D14" s="7" t="s">
        <v>20</v>
      </c>
      <c r="E14" s="8">
        <v>3.0000000000000001E-3</v>
      </c>
      <c r="F14" t="s">
        <v>21</v>
      </c>
      <c r="G14" s="9">
        <v>14.44</v>
      </c>
      <c r="H14" s="10">
        <v>4.3319999999999997E-2</v>
      </c>
      <c r="I14" t="s">
        <v>18</v>
      </c>
      <c r="J14" t="s">
        <v>18</v>
      </c>
      <c r="K14" t="s">
        <v>18</v>
      </c>
      <c r="L14" t="s">
        <v>18</v>
      </c>
      <c r="N14" t="s">
        <v>18</v>
      </c>
      <c r="O14" t="s">
        <v>18</v>
      </c>
    </row>
    <row r="15" spans="1:15" ht="18" customHeight="1" x14ac:dyDescent="0.15">
      <c r="A15" t="s">
        <v>18</v>
      </c>
      <c r="B15" t="s">
        <v>18</v>
      </c>
      <c r="C15" s="6" t="s">
        <v>39</v>
      </c>
      <c r="D15" s="7" t="s">
        <v>35</v>
      </c>
      <c r="E15" s="8">
        <v>0.04</v>
      </c>
      <c r="F15" t="s">
        <v>36</v>
      </c>
      <c r="G15" s="9">
        <v>3.49</v>
      </c>
      <c r="H15" s="10">
        <v>0.1396</v>
      </c>
      <c r="I15" t="s">
        <v>18</v>
      </c>
      <c r="J15" t="s">
        <v>18</v>
      </c>
      <c r="K15" t="s">
        <v>18</v>
      </c>
      <c r="L15" t="s">
        <v>18</v>
      </c>
      <c r="M15" t="s">
        <v>18</v>
      </c>
      <c r="N15" t="s">
        <v>18</v>
      </c>
      <c r="O15" t="s">
        <v>18</v>
      </c>
    </row>
    <row r="16" spans="1:15" ht="18" customHeight="1" x14ac:dyDescent="0.15">
      <c r="A16" t="s">
        <v>18</v>
      </c>
      <c r="B16" t="s">
        <v>18</v>
      </c>
      <c r="C16" s="6" t="s">
        <v>40</v>
      </c>
      <c r="D16" s="7" t="s">
        <v>20</v>
      </c>
      <c r="E16" s="8">
        <v>0.35</v>
      </c>
      <c r="F16" t="s">
        <v>21</v>
      </c>
      <c r="G16" s="9">
        <v>11.5</v>
      </c>
      <c r="H16" s="10">
        <v>4.0249999999999995</v>
      </c>
      <c r="I16" t="s">
        <v>18</v>
      </c>
      <c r="J16" t="s">
        <v>18</v>
      </c>
      <c r="K16" t="s">
        <v>18</v>
      </c>
      <c r="L16" t="s">
        <v>18</v>
      </c>
      <c r="M16" t="s">
        <v>18</v>
      </c>
      <c r="N16" t="s">
        <v>18</v>
      </c>
      <c r="O16" t="s">
        <v>18</v>
      </c>
    </row>
    <row r="17" spans="1:15" ht="18" customHeight="1" x14ac:dyDescent="0.15">
      <c r="A17" t="s">
        <v>18</v>
      </c>
      <c r="B17" t="s">
        <v>18</v>
      </c>
      <c r="C17" s="6" t="s">
        <v>37</v>
      </c>
      <c r="D17" s="7" t="s">
        <v>35</v>
      </c>
      <c r="E17" s="8">
        <v>0.03</v>
      </c>
      <c r="F17" t="s">
        <v>36</v>
      </c>
      <c r="G17" s="9">
        <v>10.63</v>
      </c>
      <c r="H17" s="10">
        <v>0.31890000000000002</v>
      </c>
      <c r="I17" t="s">
        <v>18</v>
      </c>
      <c r="J17" t="s">
        <v>18</v>
      </c>
      <c r="K17" t="s">
        <v>18</v>
      </c>
      <c r="L17" t="s">
        <v>18</v>
      </c>
      <c r="M17" t="s">
        <v>18</v>
      </c>
      <c r="N17" t="s">
        <v>18</v>
      </c>
      <c r="O17" t="s">
        <v>18</v>
      </c>
    </row>
    <row r="19" spans="1:15" ht="20" customHeight="1" x14ac:dyDescent="0.15">
      <c r="A19" s="2" t="s">
        <v>241</v>
      </c>
      <c r="B19" s="2" t="s">
        <v>17</v>
      </c>
      <c r="C19" s="2" t="s">
        <v>18</v>
      </c>
      <c r="D19" s="2" t="s">
        <v>18</v>
      </c>
      <c r="E19" s="2" t="s">
        <v>18</v>
      </c>
      <c r="F19" s="2" t="s">
        <v>18</v>
      </c>
      <c r="G19" s="2" t="s">
        <v>18</v>
      </c>
      <c r="H19" s="2" t="s">
        <v>18</v>
      </c>
      <c r="I19" s="3">
        <v>23</v>
      </c>
      <c r="J19" s="3">
        <v>4.7102999999999993</v>
      </c>
      <c r="K19" s="11">
        <v>0.2416588695652174</v>
      </c>
      <c r="L19" s="5">
        <v>830</v>
      </c>
      <c r="M19" s="3">
        <f>L19*(I19/1.18)</f>
        <v>16177.966101694916</v>
      </c>
      <c r="N19" s="3">
        <f>L19*J19</f>
        <v>3909.5489999999995</v>
      </c>
      <c r="O19" s="4">
        <f>N19/M19</f>
        <v>0.24165886956521734</v>
      </c>
    </row>
    <row r="20" spans="1:15" ht="18" customHeight="1" x14ac:dyDescent="0.15">
      <c r="A20" t="s">
        <v>18</v>
      </c>
      <c r="B20" t="s">
        <v>18</v>
      </c>
      <c r="C20" s="6" t="s">
        <v>30</v>
      </c>
      <c r="D20" s="7" t="s">
        <v>31</v>
      </c>
      <c r="E20" s="8">
        <v>1</v>
      </c>
      <c r="F20" t="s">
        <v>32</v>
      </c>
      <c r="G20" s="9">
        <v>0.7</v>
      </c>
      <c r="H20" s="10">
        <v>0.7</v>
      </c>
      <c r="I20" t="s">
        <v>18</v>
      </c>
      <c r="J20" t="s">
        <v>18</v>
      </c>
      <c r="K20" t="s">
        <v>18</v>
      </c>
      <c r="L20" t="s">
        <v>18</v>
      </c>
      <c r="O20" t="s">
        <v>18</v>
      </c>
    </row>
    <row r="21" spans="1:15" ht="18" customHeight="1" x14ac:dyDescent="0.15">
      <c r="A21" t="s">
        <v>18</v>
      </c>
      <c r="B21" t="s">
        <v>18</v>
      </c>
      <c r="C21" s="6" t="s">
        <v>33</v>
      </c>
      <c r="D21" s="7" t="s">
        <v>20</v>
      </c>
      <c r="E21" s="8">
        <v>0.12</v>
      </c>
      <c r="F21" t="s">
        <v>21</v>
      </c>
      <c r="G21" s="9">
        <v>28</v>
      </c>
      <c r="H21" s="10">
        <v>3.36</v>
      </c>
      <c r="I21" t="s">
        <v>18</v>
      </c>
      <c r="J21" t="s">
        <v>18</v>
      </c>
      <c r="K21" t="s">
        <v>18</v>
      </c>
      <c r="L21" t="s">
        <v>18</v>
      </c>
      <c r="M21" t="s">
        <v>18</v>
      </c>
      <c r="N21" t="s">
        <v>18</v>
      </c>
      <c r="O21" t="s">
        <v>18</v>
      </c>
    </row>
    <row r="22" spans="1:15" ht="18" customHeight="1" x14ac:dyDescent="0.15">
      <c r="A22" t="s">
        <v>18</v>
      </c>
      <c r="B22" t="s">
        <v>18</v>
      </c>
      <c r="C22" s="6" t="s">
        <v>34</v>
      </c>
      <c r="D22" s="7" t="s">
        <v>35</v>
      </c>
      <c r="E22" s="8">
        <v>0.02</v>
      </c>
      <c r="F22" t="s">
        <v>36</v>
      </c>
      <c r="G22" s="9">
        <v>12.96</v>
      </c>
      <c r="H22" s="10">
        <v>0.25920000000000004</v>
      </c>
      <c r="I22" t="s">
        <v>18</v>
      </c>
      <c r="J22" t="s">
        <v>18</v>
      </c>
      <c r="K22" t="s">
        <v>18</v>
      </c>
      <c r="L22" t="s">
        <v>18</v>
      </c>
      <c r="M22" t="s">
        <v>18</v>
      </c>
      <c r="N22" t="s">
        <v>18</v>
      </c>
      <c r="O22" t="s">
        <v>18</v>
      </c>
    </row>
    <row r="23" spans="1:15" ht="18" customHeight="1" x14ac:dyDescent="0.15">
      <c r="A23" t="s">
        <v>18</v>
      </c>
      <c r="B23" t="s">
        <v>18</v>
      </c>
      <c r="C23" s="6" t="s">
        <v>37</v>
      </c>
      <c r="D23" s="7" t="s">
        <v>35</v>
      </c>
      <c r="E23" s="8">
        <v>0.03</v>
      </c>
      <c r="F23" t="s">
        <v>36</v>
      </c>
      <c r="G23" s="9">
        <v>10.63</v>
      </c>
      <c r="H23" s="10">
        <v>0.31890000000000002</v>
      </c>
      <c r="I23" t="s">
        <v>18</v>
      </c>
      <c r="J23" t="s">
        <v>18</v>
      </c>
      <c r="K23" t="s">
        <v>18</v>
      </c>
      <c r="L23" t="s">
        <v>18</v>
      </c>
      <c r="M23" t="s">
        <v>18</v>
      </c>
      <c r="N23" t="s">
        <v>18</v>
      </c>
      <c r="O23" t="s">
        <v>18</v>
      </c>
    </row>
    <row r="24" spans="1:15" ht="18" customHeight="1" x14ac:dyDescent="0.15">
      <c r="A24" t="s">
        <v>18</v>
      </c>
      <c r="B24" t="s">
        <v>18</v>
      </c>
      <c r="C24" s="6" t="s">
        <v>38</v>
      </c>
      <c r="D24" s="7" t="s">
        <v>20</v>
      </c>
      <c r="E24" s="8">
        <v>5.0000000000000001E-3</v>
      </c>
      <c r="F24" t="s">
        <v>21</v>
      </c>
      <c r="G24" s="9">
        <v>14.44</v>
      </c>
      <c r="H24" s="10">
        <v>7.22E-2</v>
      </c>
      <c r="I24" t="s">
        <v>18</v>
      </c>
      <c r="J24" t="s">
        <v>18</v>
      </c>
      <c r="K24" t="s">
        <v>18</v>
      </c>
      <c r="L24" t="s">
        <v>18</v>
      </c>
      <c r="M24" t="s">
        <v>18</v>
      </c>
      <c r="N24" t="s">
        <v>18</v>
      </c>
      <c r="O24" t="s">
        <v>18</v>
      </c>
    </row>
    <row r="26" spans="1:15" ht="20" customHeight="1" x14ac:dyDescent="0.15">
      <c r="A26" s="2" t="s">
        <v>41</v>
      </c>
      <c r="B26" s="2" t="s">
        <v>17</v>
      </c>
      <c r="C26" s="2" t="s">
        <v>18</v>
      </c>
      <c r="D26" s="2" t="s">
        <v>18</v>
      </c>
      <c r="E26" s="2" t="s">
        <v>18</v>
      </c>
      <c r="F26" s="2" t="s">
        <v>18</v>
      </c>
      <c r="G26" s="2" t="s">
        <v>18</v>
      </c>
      <c r="H26" s="2" t="s">
        <v>18</v>
      </c>
      <c r="I26" s="3">
        <v>28</v>
      </c>
      <c r="J26" s="3">
        <f>SUM(H27:H31)</f>
        <v>5.9344999999999999</v>
      </c>
      <c r="K26" s="11">
        <v>0.24503964285714283</v>
      </c>
      <c r="L26" s="5">
        <v>493</v>
      </c>
      <c r="M26" s="3">
        <f>L26*(I26/1.18)</f>
        <v>11698.305084745763</v>
      </c>
      <c r="N26" s="3">
        <f>L26*J26</f>
        <v>2925.7084999999997</v>
      </c>
      <c r="O26" s="4">
        <f>N26/M26</f>
        <v>0.25009678571428567</v>
      </c>
    </row>
    <row r="27" spans="1:15" ht="18" customHeight="1" x14ac:dyDescent="0.15">
      <c r="A27" t="s">
        <v>18</v>
      </c>
      <c r="B27" t="s">
        <v>18</v>
      </c>
      <c r="C27" s="6" t="s">
        <v>30</v>
      </c>
      <c r="D27" s="7" t="s">
        <v>31</v>
      </c>
      <c r="E27" s="8">
        <v>1</v>
      </c>
      <c r="F27" t="s">
        <v>32</v>
      </c>
      <c r="G27" s="9">
        <v>0.7</v>
      </c>
      <c r="H27" s="10">
        <v>0.7</v>
      </c>
      <c r="I27" t="s">
        <v>18</v>
      </c>
      <c r="J27" t="s">
        <v>18</v>
      </c>
      <c r="K27" t="s">
        <v>18</v>
      </c>
      <c r="M27" t="s">
        <v>18</v>
      </c>
      <c r="N27" t="s">
        <v>18</v>
      </c>
      <c r="O27" t="s">
        <v>18</v>
      </c>
    </row>
    <row r="28" spans="1:15" ht="18" customHeight="1" x14ac:dyDescent="0.15">
      <c r="A28" t="s">
        <v>18</v>
      </c>
      <c r="B28" t="s">
        <v>18</v>
      </c>
      <c r="C28" s="6" t="s">
        <v>42</v>
      </c>
      <c r="D28" s="7" t="s">
        <v>20</v>
      </c>
      <c r="E28" s="8">
        <v>0.02</v>
      </c>
      <c r="F28" t="s">
        <v>21</v>
      </c>
      <c r="G28" s="9">
        <v>16.5</v>
      </c>
      <c r="H28" s="10">
        <f>G28*E28</f>
        <v>0.33</v>
      </c>
      <c r="I28" t="s">
        <v>18</v>
      </c>
      <c r="J28" t="s">
        <v>18</v>
      </c>
      <c r="K28" t="s">
        <v>18</v>
      </c>
      <c r="L28" t="s">
        <v>18</v>
      </c>
      <c r="M28" t="s">
        <v>18</v>
      </c>
      <c r="N28" t="s">
        <v>18</v>
      </c>
      <c r="O28" t="s">
        <v>18</v>
      </c>
    </row>
    <row r="29" spans="1:15" ht="18" customHeight="1" x14ac:dyDescent="0.15">
      <c r="A29" t="s">
        <v>18</v>
      </c>
      <c r="B29" t="s">
        <v>18</v>
      </c>
      <c r="C29" s="6" t="s">
        <v>43</v>
      </c>
      <c r="D29" s="7" t="s">
        <v>20</v>
      </c>
      <c r="E29" s="8">
        <v>0.1</v>
      </c>
      <c r="F29" t="s">
        <v>21</v>
      </c>
      <c r="G29" s="9">
        <v>40</v>
      </c>
      <c r="H29" s="10">
        <v>4</v>
      </c>
      <c r="I29" t="s">
        <v>18</v>
      </c>
      <c r="J29" t="s">
        <v>18</v>
      </c>
      <c r="K29" t="s">
        <v>18</v>
      </c>
      <c r="L29" t="s">
        <v>18</v>
      </c>
      <c r="M29" t="s">
        <v>18</v>
      </c>
      <c r="N29" t="s">
        <v>18</v>
      </c>
      <c r="O29" t="s">
        <v>18</v>
      </c>
    </row>
    <row r="30" spans="1:15" ht="18" customHeight="1" x14ac:dyDescent="0.15">
      <c r="A30" t="s">
        <v>18</v>
      </c>
      <c r="B30" t="s">
        <v>18</v>
      </c>
      <c r="C30" s="6" t="s">
        <v>44</v>
      </c>
      <c r="D30" s="7" t="s">
        <v>35</v>
      </c>
      <c r="E30" s="8">
        <v>0.03</v>
      </c>
      <c r="F30" t="s">
        <v>36</v>
      </c>
      <c r="G30" s="9">
        <v>12.87</v>
      </c>
      <c r="H30" s="10">
        <v>0.38609999999999994</v>
      </c>
      <c r="I30" t="s">
        <v>18</v>
      </c>
      <c r="J30" t="s">
        <v>18</v>
      </c>
      <c r="K30" t="s">
        <v>18</v>
      </c>
      <c r="L30" t="s">
        <v>18</v>
      </c>
      <c r="M30" t="s">
        <v>18</v>
      </c>
      <c r="N30" t="s">
        <v>18</v>
      </c>
      <c r="O30" t="s">
        <v>18</v>
      </c>
    </row>
    <row r="31" spans="1:15" ht="18" customHeight="1" x14ac:dyDescent="0.15">
      <c r="A31" t="s">
        <v>18</v>
      </c>
      <c r="B31" t="s">
        <v>18</v>
      </c>
      <c r="C31" s="6" t="s">
        <v>34</v>
      </c>
      <c r="D31" s="7" t="s">
        <v>35</v>
      </c>
      <c r="E31" s="8">
        <v>0.04</v>
      </c>
      <c r="F31" t="s">
        <v>36</v>
      </c>
      <c r="G31" s="9">
        <v>12.96</v>
      </c>
      <c r="H31" s="10">
        <v>0.51840000000000008</v>
      </c>
      <c r="I31" t="s">
        <v>18</v>
      </c>
      <c r="J31" t="s">
        <v>18</v>
      </c>
      <c r="K31" t="s">
        <v>18</v>
      </c>
      <c r="L31" t="s">
        <v>18</v>
      </c>
      <c r="M31" t="s">
        <v>18</v>
      </c>
      <c r="N31" t="s">
        <v>18</v>
      </c>
      <c r="O31" t="s">
        <v>18</v>
      </c>
    </row>
    <row r="33" spans="1:15" ht="20" customHeight="1" x14ac:dyDescent="0.15">
      <c r="A33" s="2" t="s">
        <v>242</v>
      </c>
      <c r="B33" s="2" t="s">
        <v>17</v>
      </c>
      <c r="C33" s="2" t="s">
        <v>18</v>
      </c>
      <c r="D33" s="2" t="s">
        <v>18</v>
      </c>
      <c r="E33" s="2" t="s">
        <v>18</v>
      </c>
      <c r="F33" s="2" t="s">
        <v>18</v>
      </c>
      <c r="G33" s="2" t="s">
        <v>18</v>
      </c>
      <c r="H33" s="2" t="s">
        <v>18</v>
      </c>
      <c r="I33" s="3">
        <v>33</v>
      </c>
      <c r="J33" s="3">
        <v>8.3294999999999995</v>
      </c>
      <c r="K33" s="11">
        <v>0.29784272727272726</v>
      </c>
      <c r="L33" s="5">
        <v>1040</v>
      </c>
      <c r="M33" s="3">
        <f>L33*(I33/1.18)</f>
        <v>29084.745762711867</v>
      </c>
      <c r="N33" s="3">
        <f>L33*J33</f>
        <v>8662.68</v>
      </c>
      <c r="O33" s="4">
        <f>N33/M33</f>
        <v>0.29784272727272726</v>
      </c>
    </row>
    <row r="34" spans="1:15" ht="18" customHeight="1" x14ac:dyDescent="0.15">
      <c r="A34" t="s">
        <v>18</v>
      </c>
      <c r="B34" t="s">
        <v>18</v>
      </c>
      <c r="C34" s="6" t="s">
        <v>30</v>
      </c>
      <c r="D34" s="7" t="s">
        <v>31</v>
      </c>
      <c r="E34" s="8">
        <v>1</v>
      </c>
      <c r="F34" t="s">
        <v>32</v>
      </c>
      <c r="G34" s="9">
        <v>0.7</v>
      </c>
      <c r="H34" s="10">
        <v>0.7</v>
      </c>
      <c r="I34" t="s">
        <v>18</v>
      </c>
      <c r="J34" t="s">
        <v>18</v>
      </c>
      <c r="K34" t="s">
        <v>18</v>
      </c>
      <c r="L34" t="s">
        <v>18</v>
      </c>
      <c r="M34" t="s">
        <v>18</v>
      </c>
      <c r="N34" t="s">
        <v>18</v>
      </c>
      <c r="O34" t="s">
        <v>18</v>
      </c>
    </row>
    <row r="35" spans="1:15" ht="18" customHeight="1" x14ac:dyDescent="0.15">
      <c r="A35" t="s">
        <v>18</v>
      </c>
      <c r="B35" t="s">
        <v>18</v>
      </c>
      <c r="C35" s="6" t="s">
        <v>33</v>
      </c>
      <c r="D35" s="7" t="s">
        <v>20</v>
      </c>
      <c r="E35" s="8">
        <v>0.24</v>
      </c>
      <c r="F35" t="s">
        <v>21</v>
      </c>
      <c r="G35" s="9">
        <v>28</v>
      </c>
      <c r="H35" s="10">
        <v>6.72</v>
      </c>
      <c r="I35" t="s">
        <v>18</v>
      </c>
      <c r="J35" t="s">
        <v>18</v>
      </c>
      <c r="K35" t="s">
        <v>18</v>
      </c>
      <c r="L35" t="s">
        <v>18</v>
      </c>
      <c r="M35" t="s">
        <v>18</v>
      </c>
      <c r="N35" t="s">
        <v>18</v>
      </c>
      <c r="O35" t="s">
        <v>18</v>
      </c>
    </row>
    <row r="36" spans="1:15" ht="18" customHeight="1" x14ac:dyDescent="0.15">
      <c r="A36" t="s">
        <v>18</v>
      </c>
      <c r="B36" t="s">
        <v>18</v>
      </c>
      <c r="C36" s="6" t="s">
        <v>34</v>
      </c>
      <c r="D36" s="7" t="s">
        <v>35</v>
      </c>
      <c r="E36" s="8">
        <v>0.04</v>
      </c>
      <c r="F36" t="s">
        <v>36</v>
      </c>
      <c r="G36" s="9">
        <v>12.96</v>
      </c>
      <c r="H36" s="10">
        <v>0.51840000000000008</v>
      </c>
      <c r="I36" t="s">
        <v>18</v>
      </c>
      <c r="J36" t="s">
        <v>18</v>
      </c>
      <c r="K36" t="s">
        <v>18</v>
      </c>
      <c r="L36" t="s">
        <v>18</v>
      </c>
      <c r="M36" t="s">
        <v>18</v>
      </c>
      <c r="N36" t="s">
        <v>18</v>
      </c>
      <c r="O36" t="s">
        <v>18</v>
      </c>
    </row>
    <row r="37" spans="1:15" ht="18" customHeight="1" x14ac:dyDescent="0.15">
      <c r="A37" t="s">
        <v>18</v>
      </c>
      <c r="B37" t="s">
        <v>18</v>
      </c>
      <c r="C37" s="6" t="s">
        <v>37</v>
      </c>
      <c r="D37" s="7" t="s">
        <v>35</v>
      </c>
      <c r="E37" s="8">
        <v>0.03</v>
      </c>
      <c r="F37" t="s">
        <v>36</v>
      </c>
      <c r="G37" s="9">
        <v>10.63</v>
      </c>
      <c r="H37" s="10">
        <v>0.31890000000000002</v>
      </c>
      <c r="I37" t="s">
        <v>18</v>
      </c>
      <c r="J37" t="s">
        <v>18</v>
      </c>
      <c r="K37" t="s">
        <v>18</v>
      </c>
      <c r="L37" t="s">
        <v>18</v>
      </c>
      <c r="M37" t="s">
        <v>18</v>
      </c>
      <c r="N37" t="s">
        <v>18</v>
      </c>
      <c r="O37" t="s">
        <v>18</v>
      </c>
    </row>
    <row r="38" spans="1:15" ht="18" customHeight="1" x14ac:dyDescent="0.15">
      <c r="A38" t="s">
        <v>18</v>
      </c>
      <c r="B38" t="s">
        <v>18</v>
      </c>
      <c r="C38" s="6" t="s">
        <v>38</v>
      </c>
      <c r="D38" s="7" t="s">
        <v>20</v>
      </c>
      <c r="E38" s="8">
        <v>5.0000000000000001E-3</v>
      </c>
      <c r="F38" t="s">
        <v>21</v>
      </c>
      <c r="G38" s="9">
        <v>14.44</v>
      </c>
      <c r="H38" s="10">
        <v>7.22E-2</v>
      </c>
      <c r="I38" t="s">
        <v>18</v>
      </c>
      <c r="J38" t="s">
        <v>18</v>
      </c>
      <c r="K38" t="s">
        <v>18</v>
      </c>
      <c r="L38" t="s">
        <v>18</v>
      </c>
      <c r="M38" t="s">
        <v>18</v>
      </c>
      <c r="N38" t="s">
        <v>18</v>
      </c>
      <c r="O38" t="s">
        <v>18</v>
      </c>
    </row>
    <row r="40" spans="1:15" ht="20" customHeight="1" x14ac:dyDescent="0.15">
      <c r="A40" s="2" t="s">
        <v>45</v>
      </c>
      <c r="B40" s="2" t="s">
        <v>17</v>
      </c>
      <c r="C40" s="2" t="s">
        <v>18</v>
      </c>
      <c r="D40" s="2" t="s">
        <v>18</v>
      </c>
      <c r="E40" s="2" t="s">
        <v>18</v>
      </c>
      <c r="F40" s="2" t="s">
        <v>18</v>
      </c>
      <c r="G40" s="2" t="s">
        <v>18</v>
      </c>
      <c r="H40" s="2" t="s">
        <v>18</v>
      </c>
      <c r="I40" s="3">
        <v>48</v>
      </c>
      <c r="J40" s="3">
        <v>13.875800000000002</v>
      </c>
      <c r="K40" s="4">
        <v>0.34111341666666667</v>
      </c>
      <c r="L40" s="5">
        <v>325</v>
      </c>
      <c r="M40" s="3">
        <f>L40*(I40/1.18)</f>
        <v>13220.338983050849</v>
      </c>
      <c r="N40" s="3">
        <f>L40*J40</f>
        <v>4509.6350000000002</v>
      </c>
      <c r="O40" s="4">
        <f>N40/M40</f>
        <v>0.34111341666666661</v>
      </c>
    </row>
    <row r="41" spans="1:15" ht="18" customHeight="1" x14ac:dyDescent="0.15">
      <c r="A41" t="s">
        <v>18</v>
      </c>
      <c r="B41" t="s">
        <v>18</v>
      </c>
      <c r="C41" s="6" t="s">
        <v>30</v>
      </c>
      <c r="D41" s="7" t="s">
        <v>31</v>
      </c>
      <c r="E41" s="8">
        <v>1</v>
      </c>
      <c r="F41" t="s">
        <v>32</v>
      </c>
      <c r="G41" s="9">
        <v>0.7</v>
      </c>
      <c r="H41" s="10">
        <v>0.7</v>
      </c>
      <c r="I41" t="s">
        <v>18</v>
      </c>
      <c r="J41" t="s">
        <v>18</v>
      </c>
      <c r="K41" t="s">
        <v>18</v>
      </c>
      <c r="L41" t="s">
        <v>18</v>
      </c>
      <c r="M41" t="s">
        <v>18</v>
      </c>
      <c r="N41" t="s">
        <v>18</v>
      </c>
      <c r="O41" t="s">
        <v>18</v>
      </c>
    </row>
    <row r="42" spans="1:15" ht="18" customHeight="1" x14ac:dyDescent="0.15">
      <c r="A42" t="s">
        <v>18</v>
      </c>
      <c r="B42" t="s">
        <v>18</v>
      </c>
      <c r="C42" s="6" t="s">
        <v>46</v>
      </c>
      <c r="D42" s="7" t="s">
        <v>20</v>
      </c>
      <c r="E42" s="8">
        <v>0.01</v>
      </c>
      <c r="F42" t="s">
        <v>21</v>
      </c>
      <c r="G42" s="9">
        <v>30</v>
      </c>
      <c r="H42" s="10">
        <v>0.33</v>
      </c>
      <c r="I42" t="s">
        <v>18</v>
      </c>
      <c r="J42" t="s">
        <v>18</v>
      </c>
      <c r="K42" t="s">
        <v>18</v>
      </c>
      <c r="L42" t="s">
        <v>18</v>
      </c>
      <c r="M42" t="s">
        <v>18</v>
      </c>
      <c r="N42" t="s">
        <v>18</v>
      </c>
      <c r="O42" t="s">
        <v>18</v>
      </c>
    </row>
    <row r="43" spans="1:15" ht="18" customHeight="1" x14ac:dyDescent="0.15">
      <c r="A43" t="s">
        <v>18</v>
      </c>
      <c r="B43" t="s">
        <v>18</v>
      </c>
      <c r="C43" s="6" t="s">
        <v>23</v>
      </c>
      <c r="D43" s="7" t="s">
        <v>20</v>
      </c>
      <c r="E43" s="8">
        <v>0.02</v>
      </c>
      <c r="F43" t="s">
        <v>21</v>
      </c>
      <c r="G43" s="9">
        <v>68</v>
      </c>
      <c r="H43" s="10">
        <v>1.36</v>
      </c>
      <c r="I43" t="s">
        <v>18</v>
      </c>
      <c r="J43" t="s">
        <v>18</v>
      </c>
      <c r="K43" t="s">
        <v>18</v>
      </c>
      <c r="L43" t="s">
        <v>18</v>
      </c>
      <c r="M43" t="s">
        <v>18</v>
      </c>
      <c r="N43" t="s">
        <v>18</v>
      </c>
      <c r="O43" t="s">
        <v>18</v>
      </c>
    </row>
    <row r="44" spans="1:15" ht="18" customHeight="1" x14ac:dyDescent="0.15">
      <c r="A44" t="s">
        <v>18</v>
      </c>
      <c r="B44" t="s">
        <v>18</v>
      </c>
      <c r="C44" s="6" t="s">
        <v>47</v>
      </c>
      <c r="D44" s="7" t="s">
        <v>35</v>
      </c>
      <c r="E44" s="8">
        <v>0.03</v>
      </c>
      <c r="F44" t="s">
        <v>36</v>
      </c>
      <c r="G44" s="9">
        <v>28.9</v>
      </c>
      <c r="H44" s="10">
        <v>0.86699999999999988</v>
      </c>
      <c r="I44" t="s">
        <v>18</v>
      </c>
      <c r="J44" t="s">
        <v>18</v>
      </c>
      <c r="K44" t="s">
        <v>18</v>
      </c>
      <c r="L44" t="s">
        <v>18</v>
      </c>
      <c r="M44" t="s">
        <v>18</v>
      </c>
      <c r="N44" t="s">
        <v>18</v>
      </c>
      <c r="O44" t="s">
        <v>18</v>
      </c>
    </row>
    <row r="45" spans="1:15" ht="18" customHeight="1" x14ac:dyDescent="0.15">
      <c r="A45" t="s">
        <v>18</v>
      </c>
      <c r="B45" t="s">
        <v>18</v>
      </c>
      <c r="C45" s="6" t="s">
        <v>48</v>
      </c>
      <c r="D45" s="7" t="s">
        <v>35</v>
      </c>
      <c r="E45" s="8">
        <v>0.03</v>
      </c>
      <c r="F45" t="s">
        <v>36</v>
      </c>
      <c r="G45" s="9">
        <v>30.22</v>
      </c>
      <c r="H45" s="10">
        <v>0.90659999999999996</v>
      </c>
      <c r="I45" t="s">
        <v>18</v>
      </c>
      <c r="J45" t="s">
        <v>18</v>
      </c>
      <c r="K45" t="s">
        <v>18</v>
      </c>
      <c r="L45" t="s">
        <v>18</v>
      </c>
      <c r="M45" t="s">
        <v>18</v>
      </c>
      <c r="N45" t="s">
        <v>18</v>
      </c>
      <c r="O45" t="s">
        <v>18</v>
      </c>
    </row>
    <row r="46" spans="1:15" ht="18" customHeight="1" x14ac:dyDescent="0.15">
      <c r="A46" t="s">
        <v>18</v>
      </c>
      <c r="B46" t="s">
        <v>18</v>
      </c>
      <c r="C46" s="6" t="s">
        <v>49</v>
      </c>
      <c r="D46" s="7" t="s">
        <v>35</v>
      </c>
      <c r="E46" s="8">
        <v>0.02</v>
      </c>
      <c r="F46" t="s">
        <v>36</v>
      </c>
      <c r="G46" s="9">
        <v>7.01</v>
      </c>
      <c r="H46" s="10">
        <v>0.14019999999999999</v>
      </c>
      <c r="I46" t="s">
        <v>18</v>
      </c>
      <c r="J46" t="s">
        <v>18</v>
      </c>
      <c r="K46" t="s">
        <v>18</v>
      </c>
      <c r="L46" t="s">
        <v>18</v>
      </c>
      <c r="M46" t="s">
        <v>18</v>
      </c>
      <c r="N46" t="s">
        <v>18</v>
      </c>
      <c r="O46" t="s">
        <v>18</v>
      </c>
    </row>
    <row r="47" spans="1:15" ht="18" customHeight="1" x14ac:dyDescent="0.15">
      <c r="A47" t="s">
        <v>18</v>
      </c>
      <c r="B47" t="s">
        <v>18</v>
      </c>
      <c r="C47" s="6" t="s">
        <v>50</v>
      </c>
      <c r="D47" s="7" t="s">
        <v>20</v>
      </c>
      <c r="E47" s="8">
        <v>0.2</v>
      </c>
      <c r="F47" t="s">
        <v>21</v>
      </c>
      <c r="G47" s="9">
        <v>47.86</v>
      </c>
      <c r="H47" s="10">
        <v>9.572000000000001</v>
      </c>
      <c r="I47" t="s">
        <v>18</v>
      </c>
      <c r="J47" t="s">
        <v>18</v>
      </c>
      <c r="K47" t="s">
        <v>18</v>
      </c>
      <c r="L47" t="s">
        <v>18</v>
      </c>
      <c r="M47" t="s">
        <v>18</v>
      </c>
      <c r="N47" t="s">
        <v>18</v>
      </c>
      <c r="O47" t="s">
        <v>18</v>
      </c>
    </row>
    <row r="49" spans="1:15" ht="20" customHeight="1" x14ac:dyDescent="0.15">
      <c r="A49" s="2" t="s">
        <v>51</v>
      </c>
      <c r="B49" s="2" t="s">
        <v>17</v>
      </c>
      <c r="C49" s="2" t="s">
        <v>18</v>
      </c>
      <c r="D49" s="2" t="s">
        <v>18</v>
      </c>
      <c r="E49" s="2" t="s">
        <v>18</v>
      </c>
      <c r="F49" s="2" t="s">
        <v>18</v>
      </c>
      <c r="G49" s="2" t="s">
        <v>18</v>
      </c>
      <c r="H49" s="2" t="s">
        <v>18</v>
      </c>
      <c r="I49" s="3">
        <v>43</v>
      </c>
      <c r="J49" s="3">
        <f>SUM(H50:H55)</f>
        <v>12.623999999999999</v>
      </c>
      <c r="K49" s="4">
        <f>J49/(I49/1.18)</f>
        <v>0.34642604651162789</v>
      </c>
      <c r="L49" s="5">
        <v>120</v>
      </c>
      <c r="M49" s="3">
        <f>L49*(I49/1.18)</f>
        <v>4372.8813559322034</v>
      </c>
      <c r="N49" s="3">
        <f>L49*J49</f>
        <v>1514.8799999999999</v>
      </c>
      <c r="O49" s="4">
        <f>N49/M49</f>
        <v>0.34642604651162789</v>
      </c>
    </row>
    <row r="50" spans="1:15" ht="18" customHeight="1" x14ac:dyDescent="0.15">
      <c r="A50" t="s">
        <v>18</v>
      </c>
      <c r="B50" t="s">
        <v>18</v>
      </c>
      <c r="C50" s="6" t="s">
        <v>52</v>
      </c>
      <c r="D50" s="7" t="s">
        <v>20</v>
      </c>
      <c r="E50" s="8">
        <v>0.03</v>
      </c>
      <c r="F50" t="s">
        <v>21</v>
      </c>
      <c r="G50" s="9">
        <v>52</v>
      </c>
      <c r="H50" s="10">
        <v>1.56</v>
      </c>
      <c r="I50" t="s">
        <v>18</v>
      </c>
      <c r="J50" t="s">
        <v>18</v>
      </c>
      <c r="K50" t="s">
        <v>18</v>
      </c>
      <c r="L50" t="s">
        <v>18</v>
      </c>
      <c r="M50" t="s">
        <v>18</v>
      </c>
      <c r="N50" t="s">
        <v>18</v>
      </c>
      <c r="O50" t="s">
        <v>18</v>
      </c>
    </row>
    <row r="51" spans="1:15" ht="18" customHeight="1" x14ac:dyDescent="0.15">
      <c r="A51" t="s">
        <v>18</v>
      </c>
      <c r="B51" t="s">
        <v>18</v>
      </c>
      <c r="C51" s="6" t="s">
        <v>19</v>
      </c>
      <c r="D51" s="7" t="s">
        <v>20</v>
      </c>
      <c r="E51" s="8">
        <v>0.01</v>
      </c>
      <c r="F51" t="s">
        <v>21</v>
      </c>
      <c r="G51" s="9">
        <v>22</v>
      </c>
      <c r="H51" s="10">
        <v>0.22</v>
      </c>
      <c r="I51" t="s">
        <v>18</v>
      </c>
      <c r="J51" t="s">
        <v>18</v>
      </c>
      <c r="K51" t="s">
        <v>18</v>
      </c>
      <c r="L51" t="s">
        <v>18</v>
      </c>
      <c r="M51" t="s">
        <v>18</v>
      </c>
      <c r="N51" t="s">
        <v>18</v>
      </c>
      <c r="O51" t="s">
        <v>18</v>
      </c>
    </row>
    <row r="52" spans="1:15" ht="18" customHeight="1" x14ac:dyDescent="0.15">
      <c r="A52" t="s">
        <v>18</v>
      </c>
      <c r="B52" t="s">
        <v>18</v>
      </c>
      <c r="C52" s="6" t="s">
        <v>53</v>
      </c>
      <c r="D52" s="7" t="s">
        <v>35</v>
      </c>
      <c r="E52" s="8">
        <v>0.2</v>
      </c>
      <c r="F52" t="s">
        <v>36</v>
      </c>
      <c r="G52" s="9">
        <v>11.46</v>
      </c>
      <c r="H52" s="10">
        <v>2.2920000000000003</v>
      </c>
      <c r="I52" t="s">
        <v>18</v>
      </c>
      <c r="J52" t="s">
        <v>18</v>
      </c>
      <c r="K52" t="s">
        <v>18</v>
      </c>
      <c r="L52" t="s">
        <v>18</v>
      </c>
      <c r="M52" t="s">
        <v>18</v>
      </c>
      <c r="N52" t="s">
        <v>18</v>
      </c>
      <c r="O52" t="s">
        <v>18</v>
      </c>
    </row>
    <row r="53" spans="1:15" ht="18" customHeight="1" x14ac:dyDescent="0.15">
      <c r="A53" t="s">
        <v>18</v>
      </c>
      <c r="B53" t="s">
        <v>18</v>
      </c>
      <c r="C53" s="6" t="s">
        <v>54</v>
      </c>
      <c r="D53" s="7" t="s">
        <v>20</v>
      </c>
      <c r="E53" s="8">
        <v>0.02</v>
      </c>
      <c r="F53" t="s">
        <v>21</v>
      </c>
      <c r="G53" s="9">
        <v>99</v>
      </c>
      <c r="H53" s="10">
        <v>1.98</v>
      </c>
      <c r="I53" t="s">
        <v>18</v>
      </c>
      <c r="J53" t="s">
        <v>18</v>
      </c>
      <c r="K53" t="s">
        <v>18</v>
      </c>
      <c r="L53" t="s">
        <v>18</v>
      </c>
      <c r="M53" t="s">
        <v>18</v>
      </c>
      <c r="N53" t="s">
        <v>18</v>
      </c>
      <c r="O53" t="s">
        <v>18</v>
      </c>
    </row>
    <row r="54" spans="1:15" ht="18" customHeight="1" x14ac:dyDescent="0.15">
      <c r="A54" t="s">
        <v>18</v>
      </c>
      <c r="B54" t="s">
        <v>18</v>
      </c>
      <c r="C54" s="6" t="s">
        <v>55</v>
      </c>
      <c r="D54" s="7" t="s">
        <v>20</v>
      </c>
      <c r="E54" s="8">
        <v>0.1</v>
      </c>
      <c r="F54" t="s">
        <v>21</v>
      </c>
      <c r="G54" s="9">
        <v>3.44</v>
      </c>
      <c r="H54" s="10">
        <v>0.34400000000000003</v>
      </c>
      <c r="I54" t="s">
        <v>18</v>
      </c>
      <c r="J54" t="s">
        <v>18</v>
      </c>
      <c r="K54" t="s">
        <v>18</v>
      </c>
      <c r="L54" t="s">
        <v>18</v>
      </c>
      <c r="M54" t="s">
        <v>18</v>
      </c>
      <c r="N54" t="s">
        <v>18</v>
      </c>
      <c r="O54" t="s">
        <v>18</v>
      </c>
    </row>
    <row r="55" spans="1:15" ht="18" customHeight="1" x14ac:dyDescent="0.15">
      <c r="A55" t="s">
        <v>18</v>
      </c>
      <c r="B55" t="s">
        <v>18</v>
      </c>
      <c r="C55" s="6" t="s">
        <v>56</v>
      </c>
      <c r="D55" s="7" t="s">
        <v>35</v>
      </c>
      <c r="E55" s="8">
        <v>0.12</v>
      </c>
      <c r="F55" t="s">
        <v>36</v>
      </c>
      <c r="G55" s="9">
        <v>51.9</v>
      </c>
      <c r="H55" s="10">
        <f>G55*E55</f>
        <v>6.2279999999999998</v>
      </c>
      <c r="I55" t="s">
        <v>18</v>
      </c>
      <c r="J55" t="s">
        <v>18</v>
      </c>
      <c r="K55" t="s">
        <v>18</v>
      </c>
      <c r="L55" t="s">
        <v>18</v>
      </c>
      <c r="M55" t="s">
        <v>18</v>
      </c>
      <c r="N55" t="s">
        <v>18</v>
      </c>
      <c r="O55" t="s">
        <v>18</v>
      </c>
    </row>
    <row r="57" spans="1:15" ht="20" customHeight="1" x14ac:dyDescent="0.15">
      <c r="A57" s="2" t="s">
        <v>57</v>
      </c>
      <c r="B57" s="2" t="s">
        <v>17</v>
      </c>
      <c r="C57" s="2" t="s">
        <v>18</v>
      </c>
      <c r="D57" s="2" t="s">
        <v>18</v>
      </c>
      <c r="E57" s="2" t="s">
        <v>18</v>
      </c>
      <c r="F57" s="2" t="s">
        <v>18</v>
      </c>
      <c r="G57" s="2" t="s">
        <v>18</v>
      </c>
      <c r="H57" s="2" t="s">
        <v>18</v>
      </c>
      <c r="I57" s="3">
        <v>35</v>
      </c>
      <c r="J57" s="3">
        <v>9.1887000000000008</v>
      </c>
      <c r="K57" s="4">
        <v>0.30979045714285713</v>
      </c>
      <c r="L57" s="5">
        <v>603</v>
      </c>
      <c r="M57" s="3">
        <f>L57*(I57/1.18)</f>
        <v>17885.593220338982</v>
      </c>
      <c r="N57" s="3">
        <f>L57*J57</f>
        <v>5540.7861000000003</v>
      </c>
      <c r="O57" s="4">
        <f>N57/M57</f>
        <v>0.30979045714285719</v>
      </c>
    </row>
    <row r="58" spans="1:15" ht="18" customHeight="1" x14ac:dyDescent="0.15">
      <c r="A58" t="s">
        <v>18</v>
      </c>
      <c r="B58" t="s">
        <v>18</v>
      </c>
      <c r="C58" s="6" t="s">
        <v>30</v>
      </c>
      <c r="D58" s="7" t="s">
        <v>31</v>
      </c>
      <c r="E58" s="8">
        <v>1</v>
      </c>
      <c r="F58" t="s">
        <v>32</v>
      </c>
      <c r="G58" s="9">
        <v>0.7</v>
      </c>
      <c r="H58" s="10">
        <v>0.7</v>
      </c>
      <c r="I58" t="s">
        <v>18</v>
      </c>
      <c r="J58" t="s">
        <v>18</v>
      </c>
      <c r="K58" t="s">
        <v>18</v>
      </c>
      <c r="L58" t="s">
        <v>18</v>
      </c>
      <c r="M58" t="s">
        <v>18</v>
      </c>
      <c r="N58" t="s">
        <v>18</v>
      </c>
      <c r="O58" t="s">
        <v>18</v>
      </c>
    </row>
    <row r="59" spans="1:15" ht="18" customHeight="1" x14ac:dyDescent="0.15">
      <c r="A59" t="s">
        <v>18</v>
      </c>
      <c r="B59" t="s">
        <v>18</v>
      </c>
      <c r="C59" s="6" t="s">
        <v>42</v>
      </c>
      <c r="D59" s="7" t="s">
        <v>20</v>
      </c>
      <c r="E59" s="8">
        <v>0.05</v>
      </c>
      <c r="F59" t="s">
        <v>21</v>
      </c>
      <c r="G59" s="9">
        <v>10.5</v>
      </c>
      <c r="H59" s="10">
        <v>0.52500000000000002</v>
      </c>
      <c r="I59" t="s">
        <v>18</v>
      </c>
      <c r="J59" t="s">
        <v>18</v>
      </c>
      <c r="K59" t="s">
        <v>18</v>
      </c>
      <c r="L59" t="s">
        <v>18</v>
      </c>
      <c r="M59" t="s">
        <v>18</v>
      </c>
      <c r="N59" t="s">
        <v>18</v>
      </c>
      <c r="O59" t="s">
        <v>18</v>
      </c>
    </row>
    <row r="60" spans="1:15" ht="18" customHeight="1" x14ac:dyDescent="0.15">
      <c r="A60" t="s">
        <v>18</v>
      </c>
      <c r="B60" t="s">
        <v>18</v>
      </c>
      <c r="C60" s="6" t="s">
        <v>43</v>
      </c>
      <c r="D60" s="7" t="s">
        <v>20</v>
      </c>
      <c r="E60" s="8">
        <v>0.17</v>
      </c>
      <c r="F60" t="s">
        <v>21</v>
      </c>
      <c r="G60" s="9">
        <v>40</v>
      </c>
      <c r="H60" s="10">
        <v>6.8000000000000007</v>
      </c>
      <c r="I60" t="s">
        <v>18</v>
      </c>
      <c r="J60" t="s">
        <v>18</v>
      </c>
      <c r="K60" t="s">
        <v>18</v>
      </c>
      <c r="L60" t="s">
        <v>18</v>
      </c>
      <c r="M60" t="s">
        <v>18</v>
      </c>
      <c r="N60" t="s">
        <v>18</v>
      </c>
      <c r="O60" t="s">
        <v>18</v>
      </c>
    </row>
    <row r="61" spans="1:15" ht="18" customHeight="1" x14ac:dyDescent="0.15">
      <c r="A61" t="s">
        <v>18</v>
      </c>
      <c r="B61" t="s">
        <v>18</v>
      </c>
      <c r="C61" s="6" t="s">
        <v>44</v>
      </c>
      <c r="D61" s="7" t="s">
        <v>35</v>
      </c>
      <c r="E61" s="8">
        <v>0.03</v>
      </c>
      <c r="F61" t="s">
        <v>36</v>
      </c>
      <c r="G61" s="9">
        <v>12.87</v>
      </c>
      <c r="H61" s="10">
        <v>0.38609999999999994</v>
      </c>
      <c r="I61" t="s">
        <v>18</v>
      </c>
      <c r="J61" t="s">
        <v>18</v>
      </c>
      <c r="K61" t="s">
        <v>18</v>
      </c>
      <c r="L61" t="s">
        <v>18</v>
      </c>
      <c r="M61" t="s">
        <v>18</v>
      </c>
      <c r="N61" t="s">
        <v>18</v>
      </c>
      <c r="O61" t="s">
        <v>18</v>
      </c>
    </row>
    <row r="62" spans="1:15" ht="18" customHeight="1" x14ac:dyDescent="0.15">
      <c r="A62" t="s">
        <v>18</v>
      </c>
      <c r="B62" t="s">
        <v>18</v>
      </c>
      <c r="C62" s="6" t="s">
        <v>34</v>
      </c>
      <c r="D62" s="7" t="s">
        <v>35</v>
      </c>
      <c r="E62" s="8">
        <v>0.06</v>
      </c>
      <c r="F62" t="s">
        <v>36</v>
      </c>
      <c r="G62" s="9">
        <v>12.96</v>
      </c>
      <c r="H62" s="10">
        <v>0.77760000000000007</v>
      </c>
      <c r="I62" t="s">
        <v>18</v>
      </c>
      <c r="J62" t="s">
        <v>18</v>
      </c>
      <c r="K62" t="s">
        <v>18</v>
      </c>
      <c r="L62" t="s">
        <v>18</v>
      </c>
      <c r="M62" t="s">
        <v>18</v>
      </c>
      <c r="N62" t="s">
        <v>18</v>
      </c>
      <c r="O62" t="s">
        <v>18</v>
      </c>
    </row>
    <row r="64" spans="1:15" ht="20" customHeight="1" x14ac:dyDescent="0.15">
      <c r="A64" s="2" t="s">
        <v>58</v>
      </c>
      <c r="B64" s="2" t="s">
        <v>17</v>
      </c>
      <c r="C64" s="2" t="s">
        <v>18</v>
      </c>
      <c r="D64" s="2" t="s">
        <v>18</v>
      </c>
      <c r="E64" s="2" t="s">
        <v>18</v>
      </c>
      <c r="F64" s="2" t="s">
        <v>18</v>
      </c>
      <c r="G64" s="2" t="s">
        <v>18</v>
      </c>
      <c r="H64" s="2" t="s">
        <v>18</v>
      </c>
      <c r="I64" s="3">
        <v>57</v>
      </c>
      <c r="J64" s="3">
        <f>SUM(H65:H72)</f>
        <v>18.520699999999998</v>
      </c>
      <c r="K64" s="13">
        <f>J64/(I64/1.18)</f>
        <v>0.3834109824561403</v>
      </c>
      <c r="L64" s="5">
        <v>178</v>
      </c>
      <c r="M64" s="3">
        <f>L64*(I64/1.18)</f>
        <v>8598.3050847457635</v>
      </c>
      <c r="N64" s="3">
        <f>L64*J64</f>
        <v>3296.6845999999996</v>
      </c>
      <c r="O64" s="4">
        <f>N64/M64</f>
        <v>0.38341098245614025</v>
      </c>
    </row>
    <row r="65" spans="1:15" ht="18" customHeight="1" x14ac:dyDescent="0.15">
      <c r="A65" t="s">
        <v>18</v>
      </c>
      <c r="B65" t="s">
        <v>18</v>
      </c>
      <c r="C65" s="6" t="s">
        <v>30</v>
      </c>
      <c r="D65" s="7" t="s">
        <v>31</v>
      </c>
      <c r="E65" s="8">
        <v>1</v>
      </c>
      <c r="F65" t="s">
        <v>32</v>
      </c>
      <c r="G65" s="9">
        <v>0.7</v>
      </c>
      <c r="H65" s="10">
        <v>0.7</v>
      </c>
      <c r="I65" t="s">
        <v>18</v>
      </c>
      <c r="J65" t="s">
        <v>18</v>
      </c>
      <c r="K65" t="s">
        <v>18</v>
      </c>
      <c r="L65" t="s">
        <v>18</v>
      </c>
      <c r="M65" t="s">
        <v>18</v>
      </c>
      <c r="N65" t="s">
        <v>18</v>
      </c>
      <c r="O65" t="s">
        <v>18</v>
      </c>
    </row>
    <row r="66" spans="1:15" ht="18" customHeight="1" x14ac:dyDescent="0.15">
      <c r="A66" t="s">
        <v>18</v>
      </c>
      <c r="B66" t="s">
        <v>18</v>
      </c>
      <c r="C66" s="6" t="s">
        <v>59</v>
      </c>
      <c r="D66" s="7" t="s">
        <v>20</v>
      </c>
      <c r="E66" s="8">
        <v>0.34</v>
      </c>
      <c r="F66" t="s">
        <v>21</v>
      </c>
      <c r="G66" s="9">
        <v>13.16</v>
      </c>
      <c r="H66" s="10">
        <v>4.4744000000000002</v>
      </c>
      <c r="I66" t="s">
        <v>18</v>
      </c>
      <c r="J66" t="s">
        <v>18</v>
      </c>
      <c r="K66" t="s">
        <v>18</v>
      </c>
      <c r="L66" t="s">
        <v>18</v>
      </c>
      <c r="M66" t="s">
        <v>18</v>
      </c>
      <c r="N66" t="s">
        <v>18</v>
      </c>
      <c r="O66" t="s">
        <v>18</v>
      </c>
    </row>
    <row r="67" spans="1:15" ht="18" customHeight="1" x14ac:dyDescent="0.15">
      <c r="A67" t="s">
        <v>18</v>
      </c>
      <c r="B67" t="s">
        <v>18</v>
      </c>
      <c r="C67" s="6" t="s">
        <v>60</v>
      </c>
      <c r="D67" s="7" t="s">
        <v>35</v>
      </c>
      <c r="E67" s="8">
        <v>0.21</v>
      </c>
      <c r="F67" t="s">
        <v>36</v>
      </c>
      <c r="G67" s="9">
        <v>54.61</v>
      </c>
      <c r="H67" s="10">
        <f>E67*G67</f>
        <v>11.4681</v>
      </c>
      <c r="I67" t="s">
        <v>18</v>
      </c>
      <c r="J67" t="s">
        <v>18</v>
      </c>
      <c r="K67" t="s">
        <v>18</v>
      </c>
      <c r="L67" t="s">
        <v>18</v>
      </c>
      <c r="M67" t="s">
        <v>18</v>
      </c>
      <c r="N67" t="s">
        <v>18</v>
      </c>
      <c r="O67" t="s">
        <v>18</v>
      </c>
    </row>
    <row r="68" spans="1:15" ht="18" customHeight="1" x14ac:dyDescent="0.15">
      <c r="A68" t="s">
        <v>18</v>
      </c>
      <c r="B68" t="s">
        <v>18</v>
      </c>
      <c r="C68" s="6" t="s">
        <v>61</v>
      </c>
      <c r="D68" s="7" t="s">
        <v>35</v>
      </c>
      <c r="E68" s="8">
        <v>0.02</v>
      </c>
      <c r="F68" t="s">
        <v>36</v>
      </c>
      <c r="G68" s="9">
        <v>16.52</v>
      </c>
      <c r="H68" s="10">
        <v>0.33039999999999997</v>
      </c>
      <c r="I68" t="s">
        <v>18</v>
      </c>
      <c r="J68" t="s">
        <v>18</v>
      </c>
      <c r="K68" t="s">
        <v>18</v>
      </c>
      <c r="L68" t="s">
        <v>18</v>
      </c>
      <c r="M68" t="s">
        <v>18</v>
      </c>
      <c r="N68" t="s">
        <v>18</v>
      </c>
      <c r="O68" t="s">
        <v>18</v>
      </c>
    </row>
    <row r="69" spans="1:15" ht="18" customHeight="1" x14ac:dyDescent="0.15">
      <c r="A69" t="s">
        <v>18</v>
      </c>
      <c r="B69" t="s">
        <v>18</v>
      </c>
      <c r="C69" s="6" t="s">
        <v>28</v>
      </c>
      <c r="D69" s="7" t="s">
        <v>20</v>
      </c>
      <c r="E69" s="8">
        <v>0.01</v>
      </c>
      <c r="F69" t="s">
        <v>27</v>
      </c>
      <c r="G69" s="9">
        <v>2.5</v>
      </c>
      <c r="H69" s="10">
        <v>2.5000000000000001E-2</v>
      </c>
      <c r="I69" t="s">
        <v>18</v>
      </c>
      <c r="J69" t="s">
        <v>18</v>
      </c>
      <c r="K69" t="s">
        <v>18</v>
      </c>
      <c r="L69" t="s">
        <v>18</v>
      </c>
      <c r="M69" t="s">
        <v>18</v>
      </c>
      <c r="N69" t="s">
        <v>18</v>
      </c>
      <c r="O69" t="s">
        <v>18</v>
      </c>
    </row>
    <row r="70" spans="1:15" ht="18" customHeight="1" x14ac:dyDescent="0.15">
      <c r="A70" t="s">
        <v>18</v>
      </c>
      <c r="B70" t="s">
        <v>18</v>
      </c>
      <c r="C70" s="6" t="s">
        <v>47</v>
      </c>
      <c r="D70" s="7" t="s">
        <v>35</v>
      </c>
      <c r="E70" s="8">
        <v>0.02</v>
      </c>
      <c r="F70" t="s">
        <v>36</v>
      </c>
      <c r="G70" s="9">
        <v>28.9</v>
      </c>
      <c r="H70" s="10">
        <v>0.57799999999999996</v>
      </c>
      <c r="I70" t="s">
        <v>18</v>
      </c>
      <c r="J70" t="s">
        <v>18</v>
      </c>
      <c r="K70" t="s">
        <v>18</v>
      </c>
      <c r="L70" t="s">
        <v>18</v>
      </c>
      <c r="M70" t="s">
        <v>18</v>
      </c>
      <c r="N70" t="s">
        <v>18</v>
      </c>
      <c r="O70" t="s">
        <v>18</v>
      </c>
    </row>
    <row r="71" spans="1:15" ht="18" customHeight="1" x14ac:dyDescent="0.15">
      <c r="A71" t="s">
        <v>18</v>
      </c>
      <c r="B71" t="s">
        <v>18</v>
      </c>
      <c r="C71" s="6" t="s">
        <v>62</v>
      </c>
      <c r="D71" s="7" t="s">
        <v>35</v>
      </c>
      <c r="E71" s="8">
        <v>0.02</v>
      </c>
      <c r="F71" t="s">
        <v>36</v>
      </c>
      <c r="G71" s="9">
        <v>13.24</v>
      </c>
      <c r="H71" s="10">
        <v>0.26480000000000004</v>
      </c>
      <c r="I71" t="s">
        <v>18</v>
      </c>
      <c r="J71" t="s">
        <v>18</v>
      </c>
      <c r="K71" t="s">
        <v>18</v>
      </c>
      <c r="L71" t="s">
        <v>18</v>
      </c>
      <c r="M71" t="s">
        <v>18</v>
      </c>
      <c r="N71" t="s">
        <v>18</v>
      </c>
      <c r="O71" t="s">
        <v>18</v>
      </c>
    </row>
    <row r="72" spans="1:15" ht="18" customHeight="1" x14ac:dyDescent="0.15">
      <c r="A72" t="s">
        <v>18</v>
      </c>
      <c r="B72" t="s">
        <v>18</v>
      </c>
      <c r="C72" s="6" t="s">
        <v>23</v>
      </c>
      <c r="D72" s="7" t="s">
        <v>20</v>
      </c>
      <c r="E72" s="8">
        <v>0.01</v>
      </c>
      <c r="F72" t="s">
        <v>21</v>
      </c>
      <c r="G72" s="9">
        <v>68</v>
      </c>
      <c r="H72" s="10">
        <v>0.68</v>
      </c>
      <c r="I72" t="s">
        <v>18</v>
      </c>
      <c r="J72" t="s">
        <v>18</v>
      </c>
      <c r="K72" t="s">
        <v>18</v>
      </c>
      <c r="L72" t="s">
        <v>18</v>
      </c>
      <c r="M72" t="s">
        <v>18</v>
      </c>
      <c r="N72" t="s">
        <v>18</v>
      </c>
      <c r="O72" t="s">
        <v>18</v>
      </c>
    </row>
    <row r="74" spans="1:15" ht="20" customHeight="1" x14ac:dyDescent="0.15">
      <c r="A74" s="2" t="s">
        <v>63</v>
      </c>
      <c r="B74" s="2" t="s">
        <v>17</v>
      </c>
      <c r="C74" s="2" t="s">
        <v>18</v>
      </c>
      <c r="D74" s="2" t="s">
        <v>18</v>
      </c>
      <c r="E74" s="2" t="s">
        <v>18</v>
      </c>
      <c r="F74" s="2" t="s">
        <v>18</v>
      </c>
      <c r="G74" s="2" t="s">
        <v>18</v>
      </c>
      <c r="H74" s="2" t="s">
        <v>18</v>
      </c>
      <c r="I74" s="3">
        <v>40</v>
      </c>
      <c r="J74" s="3">
        <v>6.1055000000000001</v>
      </c>
      <c r="K74" s="11">
        <v>0.18011225</v>
      </c>
      <c r="L74" s="5">
        <v>370</v>
      </c>
      <c r="M74" s="3">
        <f>L74*(I74/1.18)</f>
        <v>12542.372881355934</v>
      </c>
      <c r="N74" s="3">
        <f>L74*J74</f>
        <v>2259.0349999999999</v>
      </c>
      <c r="O74" s="4">
        <f>N74/M74</f>
        <v>0.18011224999999997</v>
      </c>
    </row>
    <row r="75" spans="1:15" ht="18" customHeight="1" x14ac:dyDescent="0.15">
      <c r="A75" t="s">
        <v>18</v>
      </c>
      <c r="B75" t="s">
        <v>18</v>
      </c>
      <c r="C75" s="6" t="s">
        <v>30</v>
      </c>
      <c r="D75" s="7" t="s">
        <v>31</v>
      </c>
      <c r="E75" s="8">
        <v>1</v>
      </c>
      <c r="F75" t="s">
        <v>32</v>
      </c>
      <c r="G75" s="9">
        <v>0.7</v>
      </c>
      <c r="H75" s="10">
        <v>0.7</v>
      </c>
      <c r="I75" t="s">
        <v>18</v>
      </c>
      <c r="J75" t="s">
        <v>18</v>
      </c>
      <c r="K75" t="s">
        <v>18</v>
      </c>
      <c r="L75" t="s">
        <v>18</v>
      </c>
      <c r="M75" t="s">
        <v>18</v>
      </c>
      <c r="N75" t="s">
        <v>18</v>
      </c>
      <c r="O75" t="s">
        <v>18</v>
      </c>
    </row>
    <row r="76" spans="1:15" ht="18" customHeight="1" x14ac:dyDescent="0.15">
      <c r="A76" t="s">
        <v>18</v>
      </c>
      <c r="B76" t="s">
        <v>18</v>
      </c>
      <c r="C76" s="6" t="s">
        <v>64</v>
      </c>
      <c r="D76" s="7" t="s">
        <v>20</v>
      </c>
      <c r="E76" s="8">
        <v>0.11</v>
      </c>
      <c r="F76" t="s">
        <v>21</v>
      </c>
      <c r="G76" s="9">
        <v>25</v>
      </c>
      <c r="H76" s="10">
        <v>3.0250000000000004</v>
      </c>
      <c r="I76" t="s">
        <v>18</v>
      </c>
      <c r="J76" t="s">
        <v>18</v>
      </c>
      <c r="K76" t="s">
        <v>18</v>
      </c>
      <c r="L76" t="s">
        <v>18</v>
      </c>
      <c r="M76" t="s">
        <v>18</v>
      </c>
      <c r="N76" t="s">
        <v>18</v>
      </c>
      <c r="O76" t="s">
        <v>18</v>
      </c>
    </row>
    <row r="77" spans="1:15" ht="18" customHeight="1" x14ac:dyDescent="0.15">
      <c r="A77" t="s">
        <v>18</v>
      </c>
      <c r="B77" t="s">
        <v>18</v>
      </c>
      <c r="C77" s="6" t="s">
        <v>65</v>
      </c>
      <c r="D77" s="7" t="s">
        <v>20</v>
      </c>
      <c r="E77" s="8">
        <v>0.01</v>
      </c>
      <c r="F77" t="s">
        <v>21</v>
      </c>
      <c r="G77" s="9">
        <v>27</v>
      </c>
      <c r="H77" s="10">
        <v>0.27</v>
      </c>
      <c r="I77" t="s">
        <v>18</v>
      </c>
      <c r="J77" t="s">
        <v>18</v>
      </c>
      <c r="K77" t="s">
        <v>18</v>
      </c>
      <c r="L77" t="s">
        <v>18</v>
      </c>
      <c r="M77" t="s">
        <v>18</v>
      </c>
      <c r="N77" t="s">
        <v>18</v>
      </c>
      <c r="O77" t="s">
        <v>18</v>
      </c>
    </row>
    <row r="78" spans="1:15" ht="18" customHeight="1" x14ac:dyDescent="0.15">
      <c r="A78" t="s">
        <v>18</v>
      </c>
      <c r="B78" t="s">
        <v>18</v>
      </c>
      <c r="C78" s="6" t="s">
        <v>66</v>
      </c>
      <c r="D78" s="7" t="s">
        <v>20</v>
      </c>
      <c r="E78" s="8">
        <v>0.13</v>
      </c>
      <c r="F78" t="s">
        <v>21</v>
      </c>
      <c r="G78" s="9">
        <v>11.28</v>
      </c>
      <c r="H78" s="10">
        <v>1.4663999999999999</v>
      </c>
      <c r="I78" t="s">
        <v>18</v>
      </c>
      <c r="J78" t="s">
        <v>18</v>
      </c>
      <c r="K78" t="s">
        <v>18</v>
      </c>
      <c r="L78" t="s">
        <v>18</v>
      </c>
      <c r="M78" t="s">
        <v>18</v>
      </c>
      <c r="N78" t="s">
        <v>18</v>
      </c>
      <c r="O78" t="s">
        <v>18</v>
      </c>
    </row>
    <row r="79" spans="1:15" ht="18" customHeight="1" x14ac:dyDescent="0.15">
      <c r="A79" t="s">
        <v>18</v>
      </c>
      <c r="B79" t="s">
        <v>18</v>
      </c>
      <c r="C79" s="6" t="s">
        <v>67</v>
      </c>
      <c r="D79" s="7" t="s">
        <v>20</v>
      </c>
      <c r="E79" s="8">
        <v>0.05</v>
      </c>
      <c r="F79" t="s">
        <v>21</v>
      </c>
      <c r="G79" s="9">
        <v>0.01</v>
      </c>
      <c r="H79" s="10">
        <v>5.0000000000000001E-4</v>
      </c>
      <c r="I79" t="s">
        <v>18</v>
      </c>
      <c r="J79" t="s">
        <v>18</v>
      </c>
      <c r="K79" t="s">
        <v>18</v>
      </c>
      <c r="L79" t="s">
        <v>18</v>
      </c>
      <c r="M79" t="s">
        <v>18</v>
      </c>
      <c r="N79" t="s">
        <v>18</v>
      </c>
      <c r="O79" t="s">
        <v>18</v>
      </c>
    </row>
    <row r="80" spans="1:15" ht="18" customHeight="1" x14ac:dyDescent="0.15">
      <c r="A80" t="s">
        <v>18</v>
      </c>
      <c r="B80" t="s">
        <v>18</v>
      </c>
      <c r="C80" s="6" t="s">
        <v>68</v>
      </c>
      <c r="D80" s="7" t="s">
        <v>35</v>
      </c>
      <c r="E80" s="8">
        <v>0.04</v>
      </c>
      <c r="F80" t="s">
        <v>36</v>
      </c>
      <c r="G80" s="9">
        <v>16.09</v>
      </c>
      <c r="H80" s="10">
        <v>0.64360000000000006</v>
      </c>
      <c r="I80" t="s">
        <v>18</v>
      </c>
      <c r="J80" t="s">
        <v>18</v>
      </c>
      <c r="K80" t="s">
        <v>18</v>
      </c>
      <c r="L80" t="s">
        <v>18</v>
      </c>
      <c r="M80" t="s">
        <v>18</v>
      </c>
      <c r="N80" t="s">
        <v>18</v>
      </c>
      <c r="O80" t="s">
        <v>18</v>
      </c>
    </row>
  </sheetData>
  <mergeCells count="1">
    <mergeCell ref="A1:O1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2"/>
  <sheetViews>
    <sheetView topLeftCell="F1" zoomScale="80" zoomScaleNormal="80" workbookViewId="0">
      <pane ySplit="2" topLeftCell="A27" activePane="bottomLeft" state="frozen"/>
      <selection pane="bottomLeft" activeCell="C36" sqref="C36"/>
    </sheetView>
    <sheetView topLeftCell="A52" workbookViewId="1">
      <selection sqref="A1:O1"/>
    </sheetView>
  </sheetViews>
  <sheetFormatPr baseColWidth="10" defaultColWidth="8.83203125" defaultRowHeight="14" x14ac:dyDescent="0.15"/>
  <cols>
    <col min="1" max="1" width="28" customWidth="1"/>
    <col min="2" max="2" width="16" customWidth="1"/>
    <col min="3" max="3" width="28" customWidth="1"/>
    <col min="4" max="4" width="12" customWidth="1"/>
    <col min="5" max="6" width="8" customWidth="1"/>
    <col min="7" max="7" width="14" customWidth="1"/>
    <col min="8" max="9" width="18" customWidth="1"/>
    <col min="10" max="10" width="14" customWidth="1"/>
    <col min="11" max="12" width="10" customWidth="1"/>
    <col min="13" max="13" width="20" customWidth="1"/>
    <col min="14" max="14" width="24" customWidth="1"/>
    <col min="15" max="15" width="16" customWidth="1"/>
  </cols>
  <sheetData>
    <row r="1" spans="1:15" ht="18" customHeight="1" x14ac:dyDescent="0.15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</row>
    <row r="2" spans="1:15" ht="32" customHeight="1" x14ac:dyDescent="0.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 spans="1:15" ht="20" customHeight="1" x14ac:dyDescent="0.15">
      <c r="A3" s="2" t="s">
        <v>69</v>
      </c>
      <c r="B3" s="2" t="s">
        <v>70</v>
      </c>
      <c r="C3" s="2" t="s">
        <v>18</v>
      </c>
      <c r="D3" s="2" t="s">
        <v>18</v>
      </c>
      <c r="E3" s="2" t="s">
        <v>18</v>
      </c>
      <c r="F3" s="2" t="s">
        <v>18</v>
      </c>
      <c r="G3" s="2" t="s">
        <v>18</v>
      </c>
      <c r="H3" s="2" t="s">
        <v>18</v>
      </c>
      <c r="I3" s="3">
        <v>26</v>
      </c>
      <c r="J3" s="3">
        <v>4.2700000000000005</v>
      </c>
      <c r="K3" s="11">
        <v>0.19379230769230771</v>
      </c>
      <c r="L3" s="5">
        <v>76</v>
      </c>
      <c r="M3" s="3">
        <f>L3*(I3/1.18)</f>
        <v>1674.5762711864409</v>
      </c>
      <c r="N3" s="3">
        <f>L3*J3</f>
        <v>324.52000000000004</v>
      </c>
      <c r="O3" s="4">
        <f>N3/M3</f>
        <v>0.19379230769230768</v>
      </c>
    </row>
    <row r="4" spans="1:15" ht="18" customHeight="1" x14ac:dyDescent="0.15">
      <c r="A4" t="s">
        <v>18</v>
      </c>
      <c r="B4" t="s">
        <v>18</v>
      </c>
      <c r="C4" s="6" t="s">
        <v>30</v>
      </c>
      <c r="D4" s="7" t="s">
        <v>31</v>
      </c>
      <c r="E4" s="8">
        <v>1</v>
      </c>
      <c r="F4" t="s">
        <v>32</v>
      </c>
      <c r="G4" s="9">
        <v>0.7</v>
      </c>
      <c r="H4" s="10">
        <v>0.7</v>
      </c>
      <c r="I4" t="s">
        <v>18</v>
      </c>
      <c r="J4" t="s">
        <v>18</v>
      </c>
      <c r="K4" t="s">
        <v>18</v>
      </c>
      <c r="L4" t="s">
        <v>18</v>
      </c>
      <c r="M4" t="s">
        <v>18</v>
      </c>
      <c r="N4" t="s">
        <v>18</v>
      </c>
      <c r="O4" t="s">
        <v>18</v>
      </c>
    </row>
    <row r="5" spans="1:15" ht="18" customHeight="1" x14ac:dyDescent="0.15">
      <c r="A5" t="s">
        <v>18</v>
      </c>
      <c r="B5" t="s">
        <v>18</v>
      </c>
      <c r="C5" s="6" t="s">
        <v>71</v>
      </c>
      <c r="D5" s="7" t="s">
        <v>20</v>
      </c>
      <c r="E5" s="8">
        <v>0.17</v>
      </c>
      <c r="F5" t="s">
        <v>21</v>
      </c>
      <c r="G5" s="9">
        <v>21</v>
      </c>
      <c r="H5" s="10">
        <v>3.5700000000000003</v>
      </c>
      <c r="I5" t="s">
        <v>18</v>
      </c>
      <c r="J5" t="s">
        <v>18</v>
      </c>
      <c r="K5" t="s">
        <v>18</v>
      </c>
      <c r="L5" t="s">
        <v>18</v>
      </c>
      <c r="M5" t="s">
        <v>18</v>
      </c>
      <c r="N5" t="s">
        <v>18</v>
      </c>
      <c r="O5" t="s">
        <v>18</v>
      </c>
    </row>
    <row r="7" spans="1:15" ht="20" customHeight="1" x14ac:dyDescent="0.15">
      <c r="A7" s="2" t="s">
        <v>72</v>
      </c>
      <c r="B7" s="2" t="s">
        <v>70</v>
      </c>
      <c r="C7" s="2" t="s">
        <v>18</v>
      </c>
      <c r="D7" s="2" t="s">
        <v>18</v>
      </c>
      <c r="E7" s="2" t="s">
        <v>18</v>
      </c>
      <c r="F7" s="2" t="s">
        <v>18</v>
      </c>
      <c r="G7" s="2" t="s">
        <v>18</v>
      </c>
      <c r="H7" s="2" t="s">
        <v>18</v>
      </c>
      <c r="I7" s="3">
        <v>22</v>
      </c>
      <c r="J7" s="3">
        <v>6.6010000000000009</v>
      </c>
      <c r="K7" s="13">
        <v>0.3540536363636364</v>
      </c>
      <c r="L7" s="5">
        <v>117</v>
      </c>
      <c r="M7" s="3">
        <f>L7*(I7/1.18)</f>
        <v>2181.3559322033898</v>
      </c>
      <c r="N7" s="3">
        <f>L7*J7</f>
        <v>772.31700000000012</v>
      </c>
      <c r="O7" s="4">
        <f>N7/M7</f>
        <v>0.3540536363636364</v>
      </c>
    </row>
    <row r="8" spans="1:15" ht="18" customHeight="1" x14ac:dyDescent="0.15">
      <c r="A8" t="s">
        <v>18</v>
      </c>
      <c r="B8" t="s">
        <v>18</v>
      </c>
      <c r="C8" s="6" t="s">
        <v>71</v>
      </c>
      <c r="D8" s="7" t="s">
        <v>20</v>
      </c>
      <c r="E8" s="8">
        <v>0.12</v>
      </c>
      <c r="F8" t="s">
        <v>21</v>
      </c>
      <c r="G8" s="9">
        <v>21</v>
      </c>
      <c r="H8" s="10">
        <v>2.52</v>
      </c>
      <c r="I8" t="s">
        <v>18</v>
      </c>
      <c r="J8" t="s">
        <v>18</v>
      </c>
      <c r="K8" t="s">
        <v>18</v>
      </c>
      <c r="L8" t="s">
        <v>18</v>
      </c>
      <c r="M8" t="s">
        <v>18</v>
      </c>
      <c r="N8" t="s">
        <v>18</v>
      </c>
      <c r="O8" t="s">
        <v>18</v>
      </c>
    </row>
    <row r="9" spans="1:15" ht="18" customHeight="1" x14ac:dyDescent="0.15">
      <c r="A9" t="s">
        <v>18</v>
      </c>
      <c r="B9" t="s">
        <v>18</v>
      </c>
      <c r="C9" s="6" t="s">
        <v>30</v>
      </c>
      <c r="D9" s="7" t="s">
        <v>31</v>
      </c>
      <c r="E9" s="8">
        <v>1</v>
      </c>
      <c r="F9" t="s">
        <v>32</v>
      </c>
      <c r="G9" s="9">
        <v>0.7</v>
      </c>
      <c r="H9" s="10">
        <v>0.7</v>
      </c>
      <c r="I9" t="s">
        <v>18</v>
      </c>
      <c r="J9" t="s">
        <v>18</v>
      </c>
      <c r="K9" t="s">
        <v>18</v>
      </c>
      <c r="L9" t="s">
        <v>18</v>
      </c>
      <c r="M9" t="s">
        <v>18</v>
      </c>
      <c r="N9" t="s">
        <v>18</v>
      </c>
      <c r="O9" t="s">
        <v>18</v>
      </c>
    </row>
    <row r="10" spans="1:15" ht="18" customHeight="1" x14ac:dyDescent="0.15">
      <c r="A10" t="s">
        <v>18</v>
      </c>
      <c r="B10" t="s">
        <v>18</v>
      </c>
      <c r="C10" s="6" t="s">
        <v>73</v>
      </c>
      <c r="D10" s="7" t="s">
        <v>20</v>
      </c>
      <c r="E10" s="8">
        <v>0.1</v>
      </c>
      <c r="F10" t="s">
        <v>21</v>
      </c>
      <c r="G10" s="9">
        <v>10.199999999999999</v>
      </c>
      <c r="H10" s="10">
        <v>1.02</v>
      </c>
      <c r="I10" t="s">
        <v>18</v>
      </c>
      <c r="J10" t="s">
        <v>18</v>
      </c>
      <c r="K10" t="s">
        <v>18</v>
      </c>
      <c r="L10" t="s">
        <v>18</v>
      </c>
      <c r="M10" t="s">
        <v>18</v>
      </c>
      <c r="N10" t="s">
        <v>18</v>
      </c>
      <c r="O10" t="s">
        <v>18</v>
      </c>
    </row>
    <row r="11" spans="1:15" ht="18" customHeight="1" x14ac:dyDescent="0.15">
      <c r="A11" t="s">
        <v>18</v>
      </c>
      <c r="B11" t="s">
        <v>18</v>
      </c>
      <c r="C11" s="6" t="s">
        <v>74</v>
      </c>
      <c r="D11" s="7" t="s">
        <v>35</v>
      </c>
      <c r="E11" s="8">
        <v>0.06</v>
      </c>
      <c r="F11" t="s">
        <v>36</v>
      </c>
      <c r="G11" s="9">
        <v>39.35</v>
      </c>
      <c r="H11" s="10">
        <v>2.3610000000000002</v>
      </c>
      <c r="I11" t="s">
        <v>18</v>
      </c>
      <c r="J11" t="s">
        <v>18</v>
      </c>
      <c r="K11" t="s">
        <v>18</v>
      </c>
      <c r="L11" t="s">
        <v>18</v>
      </c>
      <c r="M11" t="s">
        <v>18</v>
      </c>
      <c r="N11" t="s">
        <v>18</v>
      </c>
      <c r="O11" t="s">
        <v>18</v>
      </c>
    </row>
    <row r="13" spans="1:15" ht="20" customHeight="1" x14ac:dyDescent="0.15">
      <c r="A13" s="2" t="s">
        <v>75</v>
      </c>
      <c r="B13" s="2" t="s">
        <v>70</v>
      </c>
      <c r="C13" s="2" t="s">
        <v>18</v>
      </c>
      <c r="D13" s="2" t="s">
        <v>18</v>
      </c>
      <c r="E13" s="2" t="s">
        <v>18</v>
      </c>
      <c r="F13" s="2" t="s">
        <v>18</v>
      </c>
      <c r="G13" s="2" t="s">
        <v>18</v>
      </c>
      <c r="H13" s="2" t="s">
        <v>18</v>
      </c>
      <c r="I13" s="3">
        <v>7</v>
      </c>
      <c r="J13" s="3">
        <v>2.35</v>
      </c>
      <c r="K13" s="13">
        <v>0.39614285714285713</v>
      </c>
      <c r="L13" s="5">
        <v>112</v>
      </c>
      <c r="M13" s="3">
        <f>L13*(I13/1.18)</f>
        <v>664.40677966101703</v>
      </c>
      <c r="N13" s="3">
        <f>L13*J13</f>
        <v>263.2</v>
      </c>
      <c r="O13" s="4">
        <f>N13/M13</f>
        <v>0.39614285714285707</v>
      </c>
    </row>
    <row r="14" spans="1:15" ht="18" customHeight="1" x14ac:dyDescent="0.15">
      <c r="A14" t="s">
        <v>18</v>
      </c>
      <c r="B14" t="s">
        <v>18</v>
      </c>
      <c r="C14" s="6" t="s">
        <v>26</v>
      </c>
      <c r="D14" s="7" t="s">
        <v>20</v>
      </c>
      <c r="E14" s="8">
        <v>1</v>
      </c>
      <c r="F14" t="s">
        <v>27</v>
      </c>
      <c r="G14" s="9">
        <v>2.35</v>
      </c>
      <c r="H14" s="10">
        <v>2.35</v>
      </c>
      <c r="I14" t="s">
        <v>18</v>
      </c>
      <c r="J14" t="s">
        <v>18</v>
      </c>
      <c r="K14" t="s">
        <v>18</v>
      </c>
      <c r="L14" t="s">
        <v>18</v>
      </c>
      <c r="M14" t="s">
        <v>18</v>
      </c>
      <c r="N14" t="s">
        <v>18</v>
      </c>
      <c r="O14" t="s">
        <v>18</v>
      </c>
    </row>
    <row r="16" spans="1:15" ht="20" customHeight="1" x14ac:dyDescent="0.15">
      <c r="A16" s="2" t="s">
        <v>76</v>
      </c>
      <c r="B16" s="2" t="s">
        <v>70</v>
      </c>
      <c r="C16" s="2" t="s">
        <v>18</v>
      </c>
      <c r="D16" s="2" t="s">
        <v>18</v>
      </c>
      <c r="E16" s="2" t="s">
        <v>18</v>
      </c>
      <c r="F16" s="2" t="s">
        <v>18</v>
      </c>
      <c r="G16" s="2" t="s">
        <v>18</v>
      </c>
      <c r="H16" s="2" t="s">
        <v>18</v>
      </c>
      <c r="I16" s="3">
        <v>7</v>
      </c>
      <c r="J16" s="3">
        <v>4.1500000000000004</v>
      </c>
      <c r="K16" s="13">
        <v>0.69957142857142851</v>
      </c>
      <c r="L16" s="5">
        <v>47</v>
      </c>
      <c r="M16" s="3">
        <f>L16*(I16/1.18)</f>
        <v>278.81355932203388</v>
      </c>
      <c r="N16" s="3">
        <f>L16*J16</f>
        <v>195.05</v>
      </c>
      <c r="O16" s="4">
        <f>N16/M16</f>
        <v>0.69957142857142862</v>
      </c>
    </row>
    <row r="17" spans="1:15" ht="18" customHeight="1" x14ac:dyDescent="0.15">
      <c r="A17" t="s">
        <v>18</v>
      </c>
      <c r="B17" t="s">
        <v>18</v>
      </c>
      <c r="C17" s="6" t="s">
        <v>77</v>
      </c>
      <c r="D17" s="7" t="s">
        <v>20</v>
      </c>
      <c r="E17" s="8">
        <v>1</v>
      </c>
      <c r="F17" t="s">
        <v>27</v>
      </c>
      <c r="G17" s="9">
        <v>4.1500000000000004</v>
      </c>
      <c r="H17" s="10">
        <v>4.1500000000000004</v>
      </c>
      <c r="I17" t="s">
        <v>18</v>
      </c>
      <c r="J17" t="s">
        <v>18</v>
      </c>
      <c r="K17" t="s">
        <v>18</v>
      </c>
      <c r="L17" t="s">
        <v>18</v>
      </c>
      <c r="M17" t="s">
        <v>18</v>
      </c>
      <c r="N17" t="s">
        <v>18</v>
      </c>
      <c r="O17" t="s">
        <v>18</v>
      </c>
    </row>
    <row r="19" spans="1:15" ht="20" customHeight="1" x14ac:dyDescent="0.15">
      <c r="A19" s="2" t="s">
        <v>78</v>
      </c>
      <c r="B19" s="2" t="s">
        <v>70</v>
      </c>
      <c r="C19" s="2" t="s">
        <v>18</v>
      </c>
      <c r="D19" s="2" t="s">
        <v>18</v>
      </c>
      <c r="E19" s="2" t="s">
        <v>18</v>
      </c>
      <c r="F19" s="2" t="s">
        <v>18</v>
      </c>
      <c r="G19" s="2" t="s">
        <v>18</v>
      </c>
      <c r="H19" s="2" t="s">
        <v>18</v>
      </c>
      <c r="I19" s="3">
        <v>24</v>
      </c>
      <c r="J19" s="3">
        <f>SUM(H20:H25)</f>
        <v>6.3840500000000002</v>
      </c>
      <c r="K19" s="11">
        <f>J19/(I19/1.18)</f>
        <v>0.31388245833333328</v>
      </c>
      <c r="L19" s="5">
        <v>634</v>
      </c>
      <c r="M19" s="3">
        <f>L19*(I19/1.18)</f>
        <v>12894.91525423729</v>
      </c>
      <c r="N19" s="3">
        <f>L19*J19</f>
        <v>4047.4877000000001</v>
      </c>
      <c r="O19" s="4">
        <f>N19/M19</f>
        <v>0.31388245833333328</v>
      </c>
    </row>
    <row r="20" spans="1:15" ht="18" customHeight="1" x14ac:dyDescent="0.15">
      <c r="A20" t="s">
        <v>18</v>
      </c>
      <c r="B20" t="s">
        <v>18</v>
      </c>
      <c r="C20" s="6" t="s">
        <v>30</v>
      </c>
      <c r="D20" s="7" t="s">
        <v>31</v>
      </c>
      <c r="E20" s="8">
        <v>1</v>
      </c>
      <c r="F20" t="s">
        <v>32</v>
      </c>
      <c r="G20" s="9">
        <v>0.7</v>
      </c>
      <c r="H20" s="10">
        <v>0.7</v>
      </c>
      <c r="I20" t="s">
        <v>18</v>
      </c>
      <c r="J20" t="s">
        <v>18</v>
      </c>
      <c r="K20" t="s">
        <v>18</v>
      </c>
      <c r="L20" t="s">
        <v>18</v>
      </c>
      <c r="M20" t="s">
        <v>18</v>
      </c>
      <c r="N20" t="s">
        <v>18</v>
      </c>
      <c r="O20" t="s">
        <v>18</v>
      </c>
    </row>
    <row r="21" spans="1:15" ht="18" customHeight="1" x14ac:dyDescent="0.15">
      <c r="A21" t="s">
        <v>18</v>
      </c>
      <c r="B21" t="s">
        <v>18</v>
      </c>
      <c r="C21" s="6" t="s">
        <v>73</v>
      </c>
      <c r="D21" s="7" t="s">
        <v>20</v>
      </c>
      <c r="E21" s="8">
        <v>0.06</v>
      </c>
      <c r="F21" t="s">
        <v>21</v>
      </c>
      <c r="G21" s="9">
        <v>10.199999999999999</v>
      </c>
      <c r="H21" s="10">
        <v>0.61199999999999999</v>
      </c>
      <c r="I21" t="s">
        <v>18</v>
      </c>
      <c r="J21" t="s">
        <v>18</v>
      </c>
      <c r="K21" t="s">
        <v>18</v>
      </c>
      <c r="L21" t="s">
        <v>18</v>
      </c>
      <c r="M21" t="s">
        <v>18</v>
      </c>
      <c r="N21" t="s">
        <v>18</v>
      </c>
      <c r="O21" t="s">
        <v>18</v>
      </c>
    </row>
    <row r="22" spans="1:15" ht="18" customHeight="1" x14ac:dyDescent="0.15">
      <c r="A22" t="s">
        <v>18</v>
      </c>
      <c r="B22" t="s">
        <v>18</v>
      </c>
      <c r="C22" s="6" t="s">
        <v>59</v>
      </c>
      <c r="D22" s="7" t="s">
        <v>20</v>
      </c>
      <c r="E22" s="8">
        <v>0.17</v>
      </c>
      <c r="F22" t="s">
        <v>21</v>
      </c>
      <c r="G22" s="9">
        <v>13.16</v>
      </c>
      <c r="H22" s="10">
        <v>2.2372000000000001</v>
      </c>
      <c r="I22" t="s">
        <v>18</v>
      </c>
      <c r="J22" t="s">
        <v>18</v>
      </c>
      <c r="K22" t="s">
        <v>18</v>
      </c>
      <c r="L22" t="s">
        <v>18</v>
      </c>
      <c r="M22" t="s">
        <v>18</v>
      </c>
      <c r="N22" t="s">
        <v>18</v>
      </c>
      <c r="O22" t="s">
        <v>18</v>
      </c>
    </row>
    <row r="23" spans="1:15" ht="18" customHeight="1" x14ac:dyDescent="0.15">
      <c r="A23" t="s">
        <v>18</v>
      </c>
      <c r="B23" t="s">
        <v>18</v>
      </c>
      <c r="C23" s="6" t="s">
        <v>79</v>
      </c>
      <c r="D23" s="7" t="s">
        <v>20</v>
      </c>
      <c r="E23" s="8">
        <v>0.09</v>
      </c>
      <c r="F23" t="s">
        <v>21</v>
      </c>
      <c r="G23" s="9">
        <f>H23/E23*1</f>
        <v>17.777777777777779</v>
      </c>
      <c r="H23" s="10">
        <v>1.6</v>
      </c>
      <c r="I23" t="s">
        <v>18</v>
      </c>
      <c r="J23" t="s">
        <v>18</v>
      </c>
      <c r="K23" t="s">
        <v>18</v>
      </c>
      <c r="L23" t="s">
        <v>18</v>
      </c>
      <c r="M23" t="s">
        <v>18</v>
      </c>
      <c r="N23" t="s">
        <v>18</v>
      </c>
      <c r="O23" t="s">
        <v>18</v>
      </c>
    </row>
    <row r="24" spans="1:15" ht="18" customHeight="1" x14ac:dyDescent="0.15">
      <c r="A24" t="s">
        <v>18</v>
      </c>
      <c r="B24" t="s">
        <v>18</v>
      </c>
      <c r="C24" s="6" t="s">
        <v>80</v>
      </c>
      <c r="D24" s="7" t="s">
        <v>20</v>
      </c>
      <c r="E24" s="8">
        <v>0.06</v>
      </c>
      <c r="F24" t="s">
        <v>21</v>
      </c>
      <c r="G24" s="9">
        <v>18.8</v>
      </c>
      <c r="H24" s="10">
        <v>1.1279999999999999</v>
      </c>
      <c r="I24" t="s">
        <v>18</v>
      </c>
      <c r="J24" t="s">
        <v>18</v>
      </c>
      <c r="K24" t="s">
        <v>18</v>
      </c>
      <c r="L24" t="s">
        <v>18</v>
      </c>
      <c r="M24" t="s">
        <v>18</v>
      </c>
      <c r="N24" t="s">
        <v>18</v>
      </c>
      <c r="O24" t="s">
        <v>18</v>
      </c>
    </row>
    <row r="25" spans="1:15" ht="18" customHeight="1" x14ac:dyDescent="0.15">
      <c r="A25" t="s">
        <v>18</v>
      </c>
      <c r="B25" t="s">
        <v>18</v>
      </c>
      <c r="C25" s="6" t="s">
        <v>81</v>
      </c>
      <c r="D25" s="7" t="s">
        <v>20</v>
      </c>
      <c r="E25" s="8">
        <v>5.0000000000000001E-3</v>
      </c>
      <c r="F25" t="s">
        <v>21</v>
      </c>
      <c r="G25" s="9">
        <v>21.37</v>
      </c>
      <c r="H25" s="10">
        <v>0.10685</v>
      </c>
      <c r="I25" t="s">
        <v>18</v>
      </c>
      <c r="J25" t="s">
        <v>18</v>
      </c>
      <c r="K25" t="s">
        <v>18</v>
      </c>
      <c r="L25" t="s">
        <v>18</v>
      </c>
      <c r="M25" t="s">
        <v>18</v>
      </c>
      <c r="N25" t="s">
        <v>18</v>
      </c>
      <c r="O25" t="s">
        <v>18</v>
      </c>
    </row>
    <row r="27" spans="1:15" ht="20" customHeight="1" x14ac:dyDescent="0.15">
      <c r="A27" s="2" t="s">
        <v>82</v>
      </c>
      <c r="B27" s="2" t="s">
        <v>70</v>
      </c>
      <c r="C27" s="2" t="s">
        <v>18</v>
      </c>
      <c r="D27" s="2" t="s">
        <v>18</v>
      </c>
      <c r="E27" s="2" t="s">
        <v>18</v>
      </c>
      <c r="F27" s="2" t="s">
        <v>18</v>
      </c>
      <c r="G27" s="2" t="s">
        <v>18</v>
      </c>
      <c r="H27" s="2" t="s">
        <v>18</v>
      </c>
      <c r="I27" s="3">
        <v>22</v>
      </c>
      <c r="J27" s="3">
        <v>3.5398999999999998</v>
      </c>
      <c r="K27" s="11">
        <v>0.18986736363636364</v>
      </c>
      <c r="L27" s="5">
        <v>67</v>
      </c>
      <c r="M27" s="3">
        <f>L27*(I27/1.18)</f>
        <v>1249.1525423728813</v>
      </c>
      <c r="N27" s="3">
        <f>L27*J27</f>
        <v>237.17329999999998</v>
      </c>
      <c r="O27" s="4">
        <f>N27/M27</f>
        <v>0.18986736363636364</v>
      </c>
    </row>
    <row r="28" spans="1:15" ht="18" customHeight="1" x14ac:dyDescent="0.15">
      <c r="A28" t="s">
        <v>18</v>
      </c>
      <c r="B28" t="s">
        <v>18</v>
      </c>
      <c r="C28" s="6" t="s">
        <v>30</v>
      </c>
      <c r="D28" s="7" t="s">
        <v>31</v>
      </c>
      <c r="E28" s="8">
        <v>1</v>
      </c>
      <c r="F28" t="s">
        <v>32</v>
      </c>
      <c r="G28" s="9">
        <v>0.7</v>
      </c>
      <c r="H28" s="10">
        <v>0.7</v>
      </c>
      <c r="I28" t="s">
        <v>18</v>
      </c>
      <c r="J28" t="s">
        <v>18</v>
      </c>
      <c r="K28" t="s">
        <v>18</v>
      </c>
      <c r="L28" t="s">
        <v>18</v>
      </c>
      <c r="M28" t="s">
        <v>18</v>
      </c>
      <c r="N28" t="s">
        <v>18</v>
      </c>
      <c r="O28" t="s">
        <v>18</v>
      </c>
    </row>
    <row r="29" spans="1:15" ht="18" customHeight="1" x14ac:dyDescent="0.15">
      <c r="A29" t="s">
        <v>18</v>
      </c>
      <c r="B29" t="s">
        <v>18</v>
      </c>
      <c r="C29" s="6" t="s">
        <v>37</v>
      </c>
      <c r="D29" s="7" t="s">
        <v>35</v>
      </c>
      <c r="E29" s="8">
        <v>0.03</v>
      </c>
      <c r="F29" t="s">
        <v>36</v>
      </c>
      <c r="G29" s="9">
        <v>10.63</v>
      </c>
      <c r="H29" s="10">
        <v>0.31890000000000002</v>
      </c>
      <c r="I29" t="s">
        <v>18</v>
      </c>
      <c r="J29" t="s">
        <v>18</v>
      </c>
      <c r="K29" t="s">
        <v>18</v>
      </c>
      <c r="L29" t="s">
        <v>18</v>
      </c>
      <c r="M29" t="s">
        <v>18</v>
      </c>
      <c r="N29" t="s">
        <v>18</v>
      </c>
      <c r="O29" t="s">
        <v>18</v>
      </c>
    </row>
    <row r="30" spans="1:15" ht="18" customHeight="1" x14ac:dyDescent="0.15">
      <c r="A30" t="s">
        <v>18</v>
      </c>
      <c r="B30" t="s">
        <v>18</v>
      </c>
      <c r="C30" s="6" t="s">
        <v>73</v>
      </c>
      <c r="D30" s="7" t="s">
        <v>20</v>
      </c>
      <c r="E30" s="8">
        <v>0.17</v>
      </c>
      <c r="F30" t="s">
        <v>21</v>
      </c>
      <c r="G30" s="9">
        <v>10.199999999999999</v>
      </c>
      <c r="H30" s="10">
        <v>1.734</v>
      </c>
      <c r="I30" t="s">
        <v>18</v>
      </c>
      <c r="J30" t="s">
        <v>18</v>
      </c>
      <c r="K30" t="s">
        <v>18</v>
      </c>
      <c r="L30" t="s">
        <v>18</v>
      </c>
      <c r="M30" t="s">
        <v>18</v>
      </c>
      <c r="N30" t="s">
        <v>18</v>
      </c>
      <c r="O30" t="s">
        <v>18</v>
      </c>
    </row>
    <row r="31" spans="1:15" ht="18" customHeight="1" x14ac:dyDescent="0.15">
      <c r="A31" t="s">
        <v>18</v>
      </c>
      <c r="B31" t="s">
        <v>18</v>
      </c>
      <c r="C31" s="6" t="s">
        <v>74</v>
      </c>
      <c r="D31" s="7" t="s">
        <v>35</v>
      </c>
      <c r="E31" s="8">
        <v>0.02</v>
      </c>
      <c r="F31" t="s">
        <v>36</v>
      </c>
      <c r="G31" s="9">
        <v>39.35</v>
      </c>
      <c r="H31" s="10">
        <v>0.78700000000000003</v>
      </c>
      <c r="I31" t="s">
        <v>18</v>
      </c>
      <c r="J31" t="s">
        <v>18</v>
      </c>
      <c r="K31" t="s">
        <v>18</v>
      </c>
      <c r="L31" t="s">
        <v>18</v>
      </c>
      <c r="M31" t="s">
        <v>18</v>
      </c>
      <c r="N31" t="s">
        <v>18</v>
      </c>
      <c r="O31" t="s">
        <v>18</v>
      </c>
    </row>
    <row r="33" spans="1:15" ht="20" customHeight="1" x14ac:dyDescent="0.15">
      <c r="A33" s="2" t="s">
        <v>243</v>
      </c>
      <c r="B33" s="2" t="s">
        <v>70</v>
      </c>
      <c r="C33" s="2" t="s">
        <v>18</v>
      </c>
      <c r="D33" s="2" t="s">
        <v>18</v>
      </c>
      <c r="E33" s="2" t="s">
        <v>18</v>
      </c>
      <c r="F33" s="2" t="s">
        <v>18</v>
      </c>
      <c r="G33" s="2" t="s">
        <v>18</v>
      </c>
      <c r="H33" s="2" t="s">
        <v>18</v>
      </c>
      <c r="I33" s="3">
        <v>28</v>
      </c>
      <c r="J33" s="3">
        <v>7.2404000000000002</v>
      </c>
      <c r="K33" s="4">
        <v>0.30513114285714288</v>
      </c>
      <c r="L33" s="5">
        <v>296</v>
      </c>
      <c r="M33" s="3">
        <f>L33*(I33/1.18)</f>
        <v>7023.7288135593226</v>
      </c>
      <c r="N33" s="3">
        <f>L33*J33</f>
        <v>2143.1584000000003</v>
      </c>
      <c r="O33" s="4">
        <f>N33/M33</f>
        <v>0.30513114285714288</v>
      </c>
    </row>
    <row r="34" spans="1:15" ht="18" customHeight="1" x14ac:dyDescent="0.15">
      <c r="A34" t="s">
        <v>18</v>
      </c>
      <c r="B34" t="s">
        <v>18</v>
      </c>
      <c r="C34" s="6" t="s">
        <v>30</v>
      </c>
      <c r="D34" s="7" t="s">
        <v>31</v>
      </c>
      <c r="E34" s="8">
        <v>1</v>
      </c>
      <c r="F34" t="s">
        <v>32</v>
      </c>
      <c r="G34" s="9">
        <v>0.7</v>
      </c>
      <c r="H34" s="10">
        <v>0.7</v>
      </c>
      <c r="I34" t="s">
        <v>18</v>
      </c>
      <c r="J34" t="s">
        <v>18</v>
      </c>
      <c r="K34" t="s">
        <v>18</v>
      </c>
      <c r="L34" t="s">
        <v>18</v>
      </c>
      <c r="M34" t="s">
        <v>18</v>
      </c>
      <c r="N34" t="s">
        <v>18</v>
      </c>
      <c r="O34" t="s">
        <v>18</v>
      </c>
    </row>
    <row r="35" spans="1:15" ht="18" customHeight="1" x14ac:dyDescent="0.15">
      <c r="A35" t="s">
        <v>18</v>
      </c>
      <c r="B35" t="s">
        <v>18</v>
      </c>
      <c r="C35" s="6" t="s">
        <v>59</v>
      </c>
      <c r="D35" s="7" t="s">
        <v>20</v>
      </c>
      <c r="E35" s="8">
        <v>0.34</v>
      </c>
      <c r="F35" t="s">
        <v>21</v>
      </c>
      <c r="G35" s="9">
        <v>13.16</v>
      </c>
      <c r="H35" s="10">
        <v>4.4744000000000002</v>
      </c>
      <c r="I35" t="s">
        <v>18</v>
      </c>
      <c r="J35" t="s">
        <v>18</v>
      </c>
      <c r="K35" t="s">
        <v>18</v>
      </c>
      <c r="L35" t="s">
        <v>18</v>
      </c>
      <c r="M35" t="s">
        <v>18</v>
      </c>
      <c r="N35" t="s">
        <v>18</v>
      </c>
      <c r="O35" t="s">
        <v>18</v>
      </c>
    </row>
    <row r="36" spans="1:15" ht="18" customHeight="1" x14ac:dyDescent="0.15">
      <c r="A36" t="s">
        <v>18</v>
      </c>
      <c r="B36" t="s">
        <v>18</v>
      </c>
      <c r="C36" s="6" t="s">
        <v>47</v>
      </c>
      <c r="D36" s="7" t="s">
        <v>35</v>
      </c>
      <c r="E36" s="8">
        <v>0.04</v>
      </c>
      <c r="F36" t="s">
        <v>36</v>
      </c>
      <c r="G36" s="9">
        <v>28.9</v>
      </c>
      <c r="H36" s="10">
        <v>1.1559999999999999</v>
      </c>
      <c r="I36" t="s">
        <v>18</v>
      </c>
      <c r="J36" t="s">
        <v>18</v>
      </c>
      <c r="K36" t="s">
        <v>18</v>
      </c>
      <c r="L36" t="s">
        <v>18</v>
      </c>
      <c r="M36" t="s">
        <v>18</v>
      </c>
      <c r="N36" t="s">
        <v>18</v>
      </c>
      <c r="O36" t="s">
        <v>18</v>
      </c>
    </row>
    <row r="37" spans="1:15" ht="18" customHeight="1" x14ac:dyDescent="0.15">
      <c r="A37" t="s">
        <v>18</v>
      </c>
      <c r="B37" t="s">
        <v>18</v>
      </c>
      <c r="C37" s="6" t="s">
        <v>83</v>
      </c>
      <c r="D37" s="7" t="s">
        <v>20</v>
      </c>
      <c r="E37" s="8">
        <v>0.01</v>
      </c>
      <c r="F37" t="s">
        <v>21</v>
      </c>
      <c r="G37" s="9">
        <v>23</v>
      </c>
      <c r="H37" s="10">
        <v>0.23</v>
      </c>
      <c r="I37" t="s">
        <v>18</v>
      </c>
      <c r="J37" t="s">
        <v>18</v>
      </c>
      <c r="K37" t="s">
        <v>18</v>
      </c>
      <c r="L37" t="s">
        <v>18</v>
      </c>
      <c r="M37" t="s">
        <v>18</v>
      </c>
      <c r="N37" t="s">
        <v>18</v>
      </c>
      <c r="O37" t="s">
        <v>18</v>
      </c>
    </row>
    <row r="38" spans="1:15" ht="18" customHeight="1" x14ac:dyDescent="0.15">
      <c r="A38" t="s">
        <v>18</v>
      </c>
      <c r="B38" t="s">
        <v>18</v>
      </c>
      <c r="C38" s="6" t="s">
        <v>23</v>
      </c>
      <c r="D38" s="7" t="s">
        <v>20</v>
      </c>
      <c r="E38" s="8">
        <v>0.01</v>
      </c>
      <c r="F38" t="s">
        <v>21</v>
      </c>
      <c r="G38" s="9">
        <v>68</v>
      </c>
      <c r="H38" s="10">
        <v>0.68</v>
      </c>
      <c r="I38" t="s">
        <v>18</v>
      </c>
      <c r="J38" t="s">
        <v>18</v>
      </c>
      <c r="K38" t="s">
        <v>18</v>
      </c>
      <c r="L38" t="s">
        <v>18</v>
      </c>
      <c r="M38" t="s">
        <v>18</v>
      </c>
      <c r="N38" t="s">
        <v>18</v>
      </c>
      <c r="O38" t="s">
        <v>18</v>
      </c>
    </row>
    <row r="40" spans="1:15" ht="20" customHeight="1" x14ac:dyDescent="0.15">
      <c r="A40" s="2" t="s">
        <v>244</v>
      </c>
      <c r="B40" s="2" t="s">
        <v>70</v>
      </c>
      <c r="C40" s="2" t="s">
        <v>18</v>
      </c>
      <c r="D40" s="2" t="s">
        <v>18</v>
      </c>
      <c r="E40" s="2" t="s">
        <v>18</v>
      </c>
      <c r="F40" s="2" t="s">
        <v>18</v>
      </c>
      <c r="G40" s="2" t="s">
        <v>18</v>
      </c>
      <c r="H40" s="2" t="s">
        <v>18</v>
      </c>
      <c r="I40" s="3">
        <v>14</v>
      </c>
      <c r="J40" s="3">
        <v>2.3440500000000002</v>
      </c>
      <c r="K40" s="11">
        <v>0.19756992857142858</v>
      </c>
      <c r="L40" s="5">
        <v>914</v>
      </c>
      <c r="M40" s="3">
        <f>L40*(I40/1.18)</f>
        <v>10844.06779661017</v>
      </c>
      <c r="N40" s="3">
        <f>L40*J40</f>
        <v>2142.4617000000003</v>
      </c>
      <c r="O40" s="4">
        <f>N40/M40</f>
        <v>0.19756992857142858</v>
      </c>
    </row>
    <row r="41" spans="1:15" ht="18" customHeight="1" x14ac:dyDescent="0.15">
      <c r="A41" t="s">
        <v>18</v>
      </c>
      <c r="B41" t="s">
        <v>18</v>
      </c>
      <c r="C41" s="6" t="s">
        <v>81</v>
      </c>
      <c r="D41" s="7" t="s">
        <v>20</v>
      </c>
      <c r="E41" s="8">
        <v>5.0000000000000001E-3</v>
      </c>
      <c r="F41" t="s">
        <v>21</v>
      </c>
      <c r="G41" s="9">
        <v>21.37</v>
      </c>
      <c r="H41" s="10">
        <v>0.10685</v>
      </c>
      <c r="I41" t="s">
        <v>18</v>
      </c>
      <c r="J41" t="s">
        <v>18</v>
      </c>
      <c r="K41" t="s">
        <v>18</v>
      </c>
      <c r="L41" t="s">
        <v>18</v>
      </c>
      <c r="M41" t="s">
        <v>18</v>
      </c>
      <c r="N41" t="s">
        <v>18</v>
      </c>
      <c r="O41" t="s">
        <v>18</v>
      </c>
    </row>
    <row r="42" spans="1:15" ht="18" customHeight="1" x14ac:dyDescent="0.15">
      <c r="A42" t="s">
        <v>18</v>
      </c>
      <c r="B42" t="s">
        <v>18</v>
      </c>
      <c r="C42" s="6" t="s">
        <v>59</v>
      </c>
      <c r="D42" s="7" t="s">
        <v>20</v>
      </c>
      <c r="E42" s="8">
        <v>0.17</v>
      </c>
      <c r="F42" t="s">
        <v>21</v>
      </c>
      <c r="G42" s="9">
        <v>13.16</v>
      </c>
      <c r="H42" s="10">
        <v>2.2372000000000001</v>
      </c>
      <c r="I42" t="s">
        <v>18</v>
      </c>
      <c r="J42" t="s">
        <v>18</v>
      </c>
      <c r="K42" t="s">
        <v>18</v>
      </c>
      <c r="L42" t="s">
        <v>18</v>
      </c>
      <c r="M42" t="s">
        <v>18</v>
      </c>
      <c r="N42" t="s">
        <v>18</v>
      </c>
      <c r="O42" t="s">
        <v>18</v>
      </c>
    </row>
    <row r="44" spans="1:15" ht="20" customHeight="1" x14ac:dyDescent="0.15">
      <c r="A44" s="2" t="s">
        <v>245</v>
      </c>
      <c r="B44" s="2" t="s">
        <v>70</v>
      </c>
      <c r="C44" s="2" t="s">
        <v>18</v>
      </c>
      <c r="D44" s="2" t="s">
        <v>18</v>
      </c>
      <c r="E44" s="2" t="s">
        <v>18</v>
      </c>
      <c r="F44" s="2" t="s">
        <v>18</v>
      </c>
      <c r="G44" s="2" t="s">
        <v>18</v>
      </c>
      <c r="H44" s="2" t="s">
        <v>18</v>
      </c>
      <c r="I44" s="3">
        <v>24</v>
      </c>
      <c r="J44" s="3">
        <v>5.6970000000000001</v>
      </c>
      <c r="K44" s="11">
        <v>0.28010249999999998</v>
      </c>
      <c r="L44" s="5">
        <v>548</v>
      </c>
      <c r="M44" s="3">
        <f>L44*(I44/1.18)</f>
        <v>11145.762711864409</v>
      </c>
      <c r="N44" s="3">
        <f>L44*J44</f>
        <v>3121.9560000000001</v>
      </c>
      <c r="O44" s="4">
        <f>N44/M44</f>
        <v>0.28010249999999998</v>
      </c>
    </row>
    <row r="45" spans="1:15" ht="18" customHeight="1" x14ac:dyDescent="0.15">
      <c r="A45" t="s">
        <v>18</v>
      </c>
      <c r="B45" t="s">
        <v>18</v>
      </c>
      <c r="C45" s="6" t="s">
        <v>30</v>
      </c>
      <c r="D45" s="7" t="s">
        <v>31</v>
      </c>
      <c r="E45" s="8">
        <v>1</v>
      </c>
      <c r="F45" t="s">
        <v>32</v>
      </c>
      <c r="G45" s="9">
        <v>0.7</v>
      </c>
      <c r="H45" s="10">
        <v>0.7</v>
      </c>
      <c r="I45" t="s">
        <v>18</v>
      </c>
      <c r="J45" t="s">
        <v>18</v>
      </c>
      <c r="K45" t="s">
        <v>18</v>
      </c>
      <c r="L45" t="s">
        <v>18</v>
      </c>
      <c r="M45" t="s">
        <v>18</v>
      </c>
      <c r="N45" t="s">
        <v>18</v>
      </c>
      <c r="O45" t="s">
        <v>18</v>
      </c>
    </row>
    <row r="46" spans="1:15" ht="18" customHeight="1" x14ac:dyDescent="0.15">
      <c r="A46" t="s">
        <v>18</v>
      </c>
      <c r="B46" t="s">
        <v>18</v>
      </c>
      <c r="C46" s="6" t="s">
        <v>84</v>
      </c>
      <c r="D46" s="7" t="s">
        <v>20</v>
      </c>
      <c r="E46" s="8">
        <v>0.05</v>
      </c>
      <c r="F46" t="s">
        <v>85</v>
      </c>
      <c r="G46" s="9">
        <v>6.1779999999999999</v>
      </c>
      <c r="H46" s="10">
        <v>0.30890000000000001</v>
      </c>
      <c r="I46" t="s">
        <v>18</v>
      </c>
      <c r="J46" t="s">
        <v>18</v>
      </c>
      <c r="K46" t="s">
        <v>18</v>
      </c>
      <c r="L46" t="s">
        <v>18</v>
      </c>
      <c r="M46" t="s">
        <v>18</v>
      </c>
      <c r="N46" t="s">
        <v>18</v>
      </c>
      <c r="O46" t="s">
        <v>18</v>
      </c>
    </row>
    <row r="47" spans="1:15" ht="18" customHeight="1" x14ac:dyDescent="0.15">
      <c r="A47" t="s">
        <v>18</v>
      </c>
      <c r="B47" t="s">
        <v>18</v>
      </c>
      <c r="C47" s="6" t="s">
        <v>81</v>
      </c>
      <c r="D47" s="7" t="s">
        <v>20</v>
      </c>
      <c r="E47" s="8">
        <v>0.01</v>
      </c>
      <c r="F47" t="s">
        <v>21</v>
      </c>
      <c r="G47" s="9">
        <v>21.37</v>
      </c>
      <c r="H47" s="10">
        <v>0.2137</v>
      </c>
      <c r="I47" t="s">
        <v>18</v>
      </c>
      <c r="J47" t="s">
        <v>18</v>
      </c>
      <c r="K47" t="s">
        <v>18</v>
      </c>
      <c r="L47" t="s">
        <v>18</v>
      </c>
      <c r="M47" t="s">
        <v>18</v>
      </c>
      <c r="N47" t="s">
        <v>18</v>
      </c>
      <c r="O47" t="s">
        <v>18</v>
      </c>
    </row>
    <row r="48" spans="1:15" ht="18" customHeight="1" x14ac:dyDescent="0.15">
      <c r="A48" t="s">
        <v>18</v>
      </c>
      <c r="B48" t="s">
        <v>18</v>
      </c>
      <c r="C48" s="6" t="s">
        <v>59</v>
      </c>
      <c r="D48" s="7" t="s">
        <v>20</v>
      </c>
      <c r="E48" s="8">
        <v>0.34</v>
      </c>
      <c r="F48" t="s">
        <v>21</v>
      </c>
      <c r="G48" s="9">
        <v>13.16</v>
      </c>
      <c r="H48" s="10">
        <v>4.4744000000000002</v>
      </c>
      <c r="I48" t="s">
        <v>18</v>
      </c>
      <c r="J48" t="s">
        <v>18</v>
      </c>
      <c r="K48" t="s">
        <v>18</v>
      </c>
      <c r="L48" t="s">
        <v>18</v>
      </c>
      <c r="M48" t="s">
        <v>18</v>
      </c>
      <c r="N48" t="s">
        <v>18</v>
      </c>
      <c r="O48" t="s">
        <v>18</v>
      </c>
    </row>
    <row r="50" spans="1:15" ht="20" customHeight="1" x14ac:dyDescent="0.15">
      <c r="A50" s="2" t="s">
        <v>86</v>
      </c>
      <c r="B50" s="2" t="s">
        <v>70</v>
      </c>
      <c r="C50" s="2" t="s">
        <v>18</v>
      </c>
      <c r="D50" s="2" t="s">
        <v>18</v>
      </c>
      <c r="E50" s="2" t="s">
        <v>18</v>
      </c>
      <c r="F50" s="2" t="s">
        <v>18</v>
      </c>
      <c r="G50" s="2" t="s">
        <v>18</v>
      </c>
      <c r="H50" s="2" t="s">
        <v>18</v>
      </c>
      <c r="I50" s="3">
        <v>7</v>
      </c>
      <c r="J50" s="3">
        <v>2.9371999999999998</v>
      </c>
      <c r="K50" s="13">
        <v>0.49512800000000001</v>
      </c>
      <c r="L50" s="5">
        <v>660</v>
      </c>
      <c r="M50" s="3">
        <f>L50*(I50/1.18)</f>
        <v>3915.2542372881358</v>
      </c>
      <c r="N50" s="3">
        <f>L50*J50</f>
        <v>1938.5519999999999</v>
      </c>
      <c r="O50" s="4">
        <f>N50/M50</f>
        <v>0.49512799999999996</v>
      </c>
    </row>
    <row r="51" spans="1:15" ht="18" customHeight="1" x14ac:dyDescent="0.15">
      <c r="A51" t="s">
        <v>18</v>
      </c>
      <c r="B51" t="s">
        <v>18</v>
      </c>
      <c r="C51" s="6" t="s">
        <v>30</v>
      </c>
      <c r="D51" s="7" t="s">
        <v>31</v>
      </c>
      <c r="E51" s="8">
        <v>1</v>
      </c>
      <c r="F51" t="s">
        <v>32</v>
      </c>
      <c r="G51" s="9">
        <v>0.7</v>
      </c>
      <c r="H51" s="10">
        <v>0.7</v>
      </c>
      <c r="I51" t="s">
        <v>18</v>
      </c>
      <c r="J51" t="s">
        <v>18</v>
      </c>
      <c r="K51" t="s">
        <v>18</v>
      </c>
      <c r="L51" t="s">
        <v>18</v>
      </c>
      <c r="M51" t="s">
        <v>18</v>
      </c>
      <c r="N51" t="s">
        <v>18</v>
      </c>
      <c r="O51" t="s">
        <v>18</v>
      </c>
    </row>
    <row r="52" spans="1:15" ht="18" customHeight="1" x14ac:dyDescent="0.15">
      <c r="A52" t="s">
        <v>18</v>
      </c>
      <c r="B52" t="s">
        <v>18</v>
      </c>
      <c r="C52" s="6" t="s">
        <v>59</v>
      </c>
      <c r="D52" s="7" t="s">
        <v>20</v>
      </c>
      <c r="E52" s="8">
        <v>0.17</v>
      </c>
      <c r="F52" t="s">
        <v>21</v>
      </c>
      <c r="G52" s="9">
        <v>13.16</v>
      </c>
      <c r="H52" s="10">
        <v>2.2372000000000001</v>
      </c>
      <c r="I52" t="s">
        <v>18</v>
      </c>
      <c r="J52" t="s">
        <v>18</v>
      </c>
      <c r="K52" t="s">
        <v>18</v>
      </c>
      <c r="L52" t="s">
        <v>18</v>
      </c>
      <c r="M52" t="s">
        <v>18</v>
      </c>
      <c r="N52" t="s">
        <v>18</v>
      </c>
      <c r="O52" t="s">
        <v>18</v>
      </c>
    </row>
  </sheetData>
  <mergeCells count="1">
    <mergeCell ref="A1:O1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2"/>
  <sheetViews>
    <sheetView workbookViewId="0">
      <pane ySplit="2" topLeftCell="A3" activePane="bottomLeft" state="frozen"/>
      <selection pane="bottomLeft" sqref="A1:O1"/>
    </sheetView>
    <sheetView workbookViewId="1">
      <selection sqref="A1:O1"/>
    </sheetView>
  </sheetViews>
  <sheetFormatPr baseColWidth="10" defaultColWidth="8.83203125" defaultRowHeight="14" x14ac:dyDescent="0.15"/>
  <cols>
    <col min="1" max="1" width="28" customWidth="1"/>
    <col min="2" max="2" width="16" customWidth="1"/>
    <col min="3" max="3" width="28" customWidth="1"/>
    <col min="4" max="4" width="12" customWidth="1"/>
    <col min="5" max="6" width="8" customWidth="1"/>
    <col min="7" max="7" width="14" customWidth="1"/>
    <col min="8" max="9" width="18" customWidth="1"/>
    <col min="10" max="10" width="14" customWidth="1"/>
    <col min="11" max="12" width="10" customWidth="1"/>
    <col min="13" max="13" width="20" customWidth="1"/>
    <col min="14" max="14" width="24" customWidth="1"/>
    <col min="15" max="15" width="16" customWidth="1"/>
  </cols>
  <sheetData>
    <row r="1" spans="1:15" ht="18" customHeight="1" x14ac:dyDescent="0.15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</row>
    <row r="2" spans="1:15" ht="32" customHeight="1" x14ac:dyDescent="0.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 spans="1:15" ht="20" customHeight="1" x14ac:dyDescent="0.15">
      <c r="A3" s="2" t="s">
        <v>87</v>
      </c>
      <c r="B3" s="2" t="s">
        <v>88</v>
      </c>
      <c r="C3" s="2" t="s">
        <v>18</v>
      </c>
      <c r="D3" s="2" t="s">
        <v>18</v>
      </c>
      <c r="E3" s="2" t="s">
        <v>18</v>
      </c>
      <c r="F3" s="2" t="s">
        <v>18</v>
      </c>
      <c r="G3" s="2" t="s">
        <v>18</v>
      </c>
      <c r="H3" s="2" t="s">
        <v>18</v>
      </c>
      <c r="I3" s="3">
        <v>9</v>
      </c>
      <c r="J3" s="3">
        <v>2.3308333333333331</v>
      </c>
      <c r="K3" s="4">
        <v>0.30559814814814812</v>
      </c>
      <c r="L3" s="5">
        <v>5</v>
      </c>
      <c r="M3" s="3">
        <v>19.009999999999998</v>
      </c>
      <c r="N3" s="3">
        <v>11.654166666666665</v>
      </c>
      <c r="O3" s="13">
        <v>0.72340434858846203</v>
      </c>
    </row>
    <row r="4" spans="1:15" ht="18" customHeight="1" x14ac:dyDescent="0.15">
      <c r="A4" t="s">
        <v>18</v>
      </c>
      <c r="B4" t="s">
        <v>18</v>
      </c>
      <c r="C4" s="6" t="s">
        <v>89</v>
      </c>
      <c r="D4" s="7" t="s">
        <v>20</v>
      </c>
      <c r="E4" s="8">
        <v>1</v>
      </c>
      <c r="F4" t="s">
        <v>27</v>
      </c>
      <c r="G4" s="9">
        <v>2.3308333333333331</v>
      </c>
      <c r="H4" s="10">
        <v>2.3308333333333331</v>
      </c>
      <c r="I4" t="s">
        <v>18</v>
      </c>
      <c r="J4" t="s">
        <v>18</v>
      </c>
      <c r="K4" t="s">
        <v>18</v>
      </c>
      <c r="L4" t="s">
        <v>18</v>
      </c>
      <c r="M4" t="s">
        <v>18</v>
      </c>
      <c r="N4" t="s">
        <v>18</v>
      </c>
      <c r="O4" t="s">
        <v>18</v>
      </c>
    </row>
    <row r="6" spans="1:15" ht="20" customHeight="1" x14ac:dyDescent="0.15">
      <c r="A6" s="2" t="s">
        <v>90</v>
      </c>
      <c r="B6" s="2" t="s">
        <v>88</v>
      </c>
      <c r="C6" s="2" t="s">
        <v>18</v>
      </c>
      <c r="D6" s="2" t="s">
        <v>18</v>
      </c>
      <c r="E6" s="2" t="s">
        <v>18</v>
      </c>
      <c r="F6" s="2" t="s">
        <v>18</v>
      </c>
      <c r="G6" s="2" t="s">
        <v>18</v>
      </c>
      <c r="H6" s="2" t="s">
        <v>18</v>
      </c>
      <c r="I6" s="3">
        <v>9</v>
      </c>
      <c r="J6" s="3">
        <v>2.3308333333333331</v>
      </c>
      <c r="K6" s="4">
        <v>0.30559814814814812</v>
      </c>
      <c r="L6" s="5">
        <v>160</v>
      </c>
      <c r="M6" s="3">
        <v>1344.1699999999998</v>
      </c>
      <c r="N6" s="3">
        <v>372.93333333333328</v>
      </c>
      <c r="O6" s="4">
        <v>0.32738517697414266</v>
      </c>
    </row>
    <row r="7" spans="1:15" ht="18" customHeight="1" x14ac:dyDescent="0.15">
      <c r="A7" t="s">
        <v>18</v>
      </c>
      <c r="B7" t="s">
        <v>18</v>
      </c>
      <c r="C7" s="6" t="s">
        <v>89</v>
      </c>
      <c r="D7" s="7" t="s">
        <v>20</v>
      </c>
      <c r="E7" s="8">
        <v>1</v>
      </c>
      <c r="F7" t="s">
        <v>27</v>
      </c>
      <c r="G7" s="9">
        <v>2.3308333333333331</v>
      </c>
      <c r="H7" s="10">
        <v>2.3308333333333331</v>
      </c>
      <c r="I7" t="s">
        <v>18</v>
      </c>
      <c r="J7" t="s">
        <v>18</v>
      </c>
      <c r="K7" t="s">
        <v>18</v>
      </c>
      <c r="L7" t="s">
        <v>18</v>
      </c>
      <c r="M7" t="s">
        <v>18</v>
      </c>
      <c r="N7" t="s">
        <v>18</v>
      </c>
      <c r="O7" t="s">
        <v>18</v>
      </c>
    </row>
    <row r="9" spans="1:15" ht="20" customHeight="1" x14ac:dyDescent="0.15">
      <c r="A9" s="2" t="s">
        <v>91</v>
      </c>
      <c r="B9" s="2" t="s">
        <v>88</v>
      </c>
      <c r="C9" s="2" t="s">
        <v>18</v>
      </c>
      <c r="D9" s="2" t="s">
        <v>18</v>
      </c>
      <c r="E9" s="2" t="s">
        <v>18</v>
      </c>
      <c r="F9" s="2" t="s">
        <v>18</v>
      </c>
      <c r="G9" s="2" t="s">
        <v>18</v>
      </c>
      <c r="H9" s="2" t="s">
        <v>18</v>
      </c>
      <c r="I9" s="3">
        <v>9</v>
      </c>
      <c r="J9" s="3">
        <v>2.5516458333333336</v>
      </c>
      <c r="K9" s="4">
        <v>0.33454912037037038</v>
      </c>
      <c r="L9" s="5">
        <v>57</v>
      </c>
      <c r="M9" s="3">
        <v>490.84</v>
      </c>
      <c r="N9" s="3">
        <v>145.44381250000001</v>
      </c>
      <c r="O9" s="4">
        <v>0.34965304121505997</v>
      </c>
    </row>
    <row r="10" spans="1:15" ht="18" customHeight="1" x14ac:dyDescent="0.15">
      <c r="A10" t="s">
        <v>18</v>
      </c>
      <c r="B10" t="s">
        <v>18</v>
      </c>
      <c r="C10" s="6" t="s">
        <v>92</v>
      </c>
      <c r="D10" s="7" t="s">
        <v>20</v>
      </c>
      <c r="E10" s="8">
        <v>1</v>
      </c>
      <c r="F10" t="s">
        <v>27</v>
      </c>
      <c r="G10" s="9">
        <v>2.5516458333333336</v>
      </c>
      <c r="H10" s="10">
        <v>2.5516458333333336</v>
      </c>
      <c r="I10" t="s">
        <v>18</v>
      </c>
      <c r="J10" t="s">
        <v>18</v>
      </c>
      <c r="K10" t="s">
        <v>18</v>
      </c>
      <c r="L10" t="s">
        <v>18</v>
      </c>
      <c r="M10" t="s">
        <v>18</v>
      </c>
      <c r="N10" t="s">
        <v>18</v>
      </c>
      <c r="O10" t="s">
        <v>18</v>
      </c>
    </row>
    <row r="12" spans="1:15" ht="20" customHeight="1" x14ac:dyDescent="0.15">
      <c r="A12" s="2" t="s">
        <v>93</v>
      </c>
      <c r="B12" s="2" t="s">
        <v>88</v>
      </c>
      <c r="C12" s="2" t="s">
        <v>18</v>
      </c>
      <c r="D12" s="2" t="s">
        <v>18</v>
      </c>
      <c r="E12" s="2" t="s">
        <v>18</v>
      </c>
      <c r="F12" s="2" t="s">
        <v>18</v>
      </c>
      <c r="G12" s="2" t="s">
        <v>18</v>
      </c>
      <c r="H12" s="2" t="s">
        <v>18</v>
      </c>
      <c r="I12" s="3">
        <v>8</v>
      </c>
      <c r="J12" s="3">
        <v>2.5816666666666666</v>
      </c>
      <c r="K12" s="13">
        <v>0.38079583333333322</v>
      </c>
      <c r="L12" s="5">
        <v>131</v>
      </c>
      <c r="M12" s="3">
        <v>889.68</v>
      </c>
      <c r="N12" s="3">
        <v>338.19833333333332</v>
      </c>
      <c r="O12" s="13">
        <v>0.44855906992776423</v>
      </c>
    </row>
    <row r="13" spans="1:15" ht="18" customHeight="1" x14ac:dyDescent="0.15">
      <c r="A13" t="s">
        <v>18</v>
      </c>
      <c r="B13" t="s">
        <v>18</v>
      </c>
      <c r="C13" s="6" t="s">
        <v>94</v>
      </c>
      <c r="D13" s="7" t="s">
        <v>20</v>
      </c>
      <c r="E13" s="8">
        <v>1</v>
      </c>
      <c r="F13" t="s">
        <v>27</v>
      </c>
      <c r="G13" s="9">
        <v>2.5816666666666666</v>
      </c>
      <c r="H13" s="10">
        <v>2.5816666666666666</v>
      </c>
      <c r="I13" t="s">
        <v>18</v>
      </c>
      <c r="J13" t="s">
        <v>18</v>
      </c>
      <c r="K13" t="s">
        <v>18</v>
      </c>
      <c r="L13" t="s">
        <v>18</v>
      </c>
      <c r="M13" t="s">
        <v>18</v>
      </c>
      <c r="N13" t="s">
        <v>18</v>
      </c>
      <c r="O13" t="s">
        <v>18</v>
      </c>
    </row>
    <row r="15" spans="1:15" ht="20" customHeight="1" x14ac:dyDescent="0.15">
      <c r="A15" s="2" t="s">
        <v>95</v>
      </c>
      <c r="B15" s="2" t="s">
        <v>88</v>
      </c>
      <c r="C15" s="2" t="s">
        <v>18</v>
      </c>
      <c r="D15" s="2" t="s">
        <v>18</v>
      </c>
      <c r="E15" s="2" t="s">
        <v>18</v>
      </c>
      <c r="F15" s="2" t="s">
        <v>18</v>
      </c>
      <c r="G15" s="2" t="s">
        <v>18</v>
      </c>
      <c r="H15" s="2" t="s">
        <v>18</v>
      </c>
      <c r="I15" s="3">
        <v>12</v>
      </c>
      <c r="J15" s="3">
        <v>3.5219541666666672</v>
      </c>
      <c r="K15" s="4">
        <v>0.34632549305555554</v>
      </c>
      <c r="L15" s="5">
        <v>44</v>
      </c>
      <c r="M15" s="3">
        <v>495</v>
      </c>
      <c r="N15" s="3">
        <v>154.96598333333336</v>
      </c>
      <c r="O15" s="13">
        <v>0.36941385925925929</v>
      </c>
    </row>
    <row r="16" spans="1:15" ht="18" customHeight="1" x14ac:dyDescent="0.15">
      <c r="A16" t="s">
        <v>18</v>
      </c>
      <c r="B16" t="s">
        <v>18</v>
      </c>
      <c r="C16" s="6" t="s">
        <v>96</v>
      </c>
      <c r="D16" s="7" t="s">
        <v>20</v>
      </c>
      <c r="E16" s="8">
        <v>1</v>
      </c>
      <c r="F16" t="s">
        <v>27</v>
      </c>
      <c r="G16" s="9">
        <v>3.5219541666666672</v>
      </c>
      <c r="H16" s="10">
        <v>3.5219541666666672</v>
      </c>
      <c r="I16" t="s">
        <v>18</v>
      </c>
      <c r="J16" t="s">
        <v>18</v>
      </c>
      <c r="K16" t="s">
        <v>18</v>
      </c>
      <c r="L16" t="s">
        <v>18</v>
      </c>
      <c r="M16" t="s">
        <v>18</v>
      </c>
      <c r="N16" t="s">
        <v>18</v>
      </c>
      <c r="O16" t="s">
        <v>18</v>
      </c>
    </row>
    <row r="18" spans="1:15" ht="20" customHeight="1" x14ac:dyDescent="0.15">
      <c r="A18" s="2" t="s">
        <v>97</v>
      </c>
      <c r="B18" s="2" t="s">
        <v>88</v>
      </c>
      <c r="C18" s="2" t="s">
        <v>18</v>
      </c>
      <c r="D18" s="2" t="s">
        <v>18</v>
      </c>
      <c r="E18" s="2" t="s">
        <v>18</v>
      </c>
      <c r="F18" s="2" t="s">
        <v>18</v>
      </c>
      <c r="G18" s="2" t="s">
        <v>18</v>
      </c>
      <c r="H18" s="2" t="s">
        <v>18</v>
      </c>
      <c r="I18" s="3">
        <v>12</v>
      </c>
      <c r="J18" s="3">
        <v>3.5220833333333332</v>
      </c>
      <c r="K18" s="4">
        <v>0.34633819444444441</v>
      </c>
      <c r="L18" s="5">
        <v>3</v>
      </c>
      <c r="M18" s="3">
        <v>33</v>
      </c>
      <c r="N18" s="3">
        <v>10.56625</v>
      </c>
      <c r="O18" s="13">
        <v>0.37782348484848483</v>
      </c>
    </row>
    <row r="19" spans="1:15" ht="18" customHeight="1" x14ac:dyDescent="0.15">
      <c r="A19" t="s">
        <v>18</v>
      </c>
      <c r="B19" t="s">
        <v>18</v>
      </c>
      <c r="C19" s="6" t="s">
        <v>98</v>
      </c>
      <c r="D19" s="7" t="s">
        <v>20</v>
      </c>
      <c r="E19" s="8">
        <v>1</v>
      </c>
      <c r="F19" t="s">
        <v>27</v>
      </c>
      <c r="G19" s="9">
        <v>3.5220833333333332</v>
      </c>
      <c r="H19" s="10">
        <v>3.5220833333333332</v>
      </c>
      <c r="I19" t="s">
        <v>18</v>
      </c>
      <c r="J19" t="s">
        <v>18</v>
      </c>
      <c r="K19" t="s">
        <v>18</v>
      </c>
      <c r="L19" t="s">
        <v>18</v>
      </c>
      <c r="M19" t="s">
        <v>18</v>
      </c>
      <c r="N19" t="s">
        <v>18</v>
      </c>
      <c r="O19" t="s">
        <v>18</v>
      </c>
    </row>
    <row r="21" spans="1:15" ht="20" customHeight="1" x14ac:dyDescent="0.15">
      <c r="A21" s="2" t="s">
        <v>99</v>
      </c>
      <c r="B21" s="2" t="s">
        <v>88</v>
      </c>
      <c r="C21" s="2" t="s">
        <v>18</v>
      </c>
      <c r="D21" s="2" t="s">
        <v>18</v>
      </c>
      <c r="E21" s="2" t="s">
        <v>18</v>
      </c>
      <c r="F21" s="2" t="s">
        <v>18</v>
      </c>
      <c r="G21" s="2" t="s">
        <v>18</v>
      </c>
      <c r="H21" s="2" t="s">
        <v>18</v>
      </c>
      <c r="I21" s="3">
        <v>6</v>
      </c>
      <c r="J21" s="3">
        <v>1.5267291666666667</v>
      </c>
      <c r="K21" s="4">
        <v>0.30025673611111109</v>
      </c>
      <c r="L21" s="5">
        <v>279</v>
      </c>
      <c r="M21" s="3">
        <v>1631.14</v>
      </c>
      <c r="N21" s="3">
        <v>425.95743750000003</v>
      </c>
      <c r="O21" s="4">
        <v>0.30814631254827907</v>
      </c>
    </row>
    <row r="22" spans="1:15" ht="18" customHeight="1" x14ac:dyDescent="0.15">
      <c r="A22" t="s">
        <v>18</v>
      </c>
      <c r="B22" t="s">
        <v>18</v>
      </c>
      <c r="C22" s="6" t="s">
        <v>100</v>
      </c>
      <c r="D22" s="7" t="s">
        <v>20</v>
      </c>
      <c r="E22" s="8">
        <v>1</v>
      </c>
      <c r="F22" t="s">
        <v>27</v>
      </c>
      <c r="G22" s="9">
        <v>1.5267291666666667</v>
      </c>
      <c r="H22" s="10">
        <v>1.5267291666666667</v>
      </c>
      <c r="I22" t="s">
        <v>18</v>
      </c>
      <c r="J22" t="s">
        <v>18</v>
      </c>
      <c r="K22" t="s">
        <v>18</v>
      </c>
      <c r="L22" t="s">
        <v>18</v>
      </c>
      <c r="M22" t="s">
        <v>18</v>
      </c>
      <c r="N22" t="s">
        <v>18</v>
      </c>
      <c r="O22" t="s">
        <v>18</v>
      </c>
    </row>
    <row r="24" spans="1:15" ht="20" customHeight="1" x14ac:dyDescent="0.15">
      <c r="A24" s="2" t="s">
        <v>101</v>
      </c>
      <c r="B24" s="2" t="s">
        <v>88</v>
      </c>
      <c r="C24" s="2" t="s">
        <v>18</v>
      </c>
      <c r="D24" s="2" t="s">
        <v>18</v>
      </c>
      <c r="E24" s="2" t="s">
        <v>18</v>
      </c>
      <c r="F24" s="2" t="s">
        <v>18</v>
      </c>
      <c r="G24" s="2" t="s">
        <v>18</v>
      </c>
      <c r="H24" s="2" t="s">
        <v>18</v>
      </c>
      <c r="I24" s="3">
        <v>8</v>
      </c>
      <c r="J24" s="3">
        <v>2.4025000000000003</v>
      </c>
      <c r="K24" s="13">
        <v>0.35436875000000001</v>
      </c>
      <c r="L24" s="5">
        <v>155</v>
      </c>
      <c r="M24" s="3">
        <v>1185.7500000000002</v>
      </c>
      <c r="N24" s="3">
        <v>372.38750000000005</v>
      </c>
      <c r="O24" s="13">
        <v>0.37058169934640517</v>
      </c>
    </row>
    <row r="25" spans="1:15" ht="18" customHeight="1" x14ac:dyDescent="0.15">
      <c r="A25" t="s">
        <v>18</v>
      </c>
      <c r="B25" t="s">
        <v>18</v>
      </c>
      <c r="C25" s="6" t="s">
        <v>102</v>
      </c>
      <c r="D25" s="7" t="s">
        <v>20</v>
      </c>
      <c r="E25" s="8">
        <v>1</v>
      </c>
      <c r="F25" t="s">
        <v>27</v>
      </c>
      <c r="G25" s="9">
        <v>2.4025000000000003</v>
      </c>
      <c r="H25" s="10">
        <v>2.4025000000000003</v>
      </c>
      <c r="I25" t="s">
        <v>18</v>
      </c>
      <c r="J25" t="s">
        <v>18</v>
      </c>
      <c r="K25" t="s">
        <v>18</v>
      </c>
      <c r="L25" t="s">
        <v>18</v>
      </c>
      <c r="M25" t="s">
        <v>18</v>
      </c>
      <c r="N25" t="s">
        <v>18</v>
      </c>
      <c r="O25" t="s">
        <v>18</v>
      </c>
    </row>
    <row r="27" spans="1:15" ht="20" customHeight="1" x14ac:dyDescent="0.15">
      <c r="A27" s="2" t="s">
        <v>103</v>
      </c>
      <c r="B27" s="2" t="s">
        <v>88</v>
      </c>
      <c r="C27" s="2" t="s">
        <v>18</v>
      </c>
      <c r="D27" s="2" t="s">
        <v>18</v>
      </c>
      <c r="E27" s="2" t="s">
        <v>18</v>
      </c>
      <c r="F27" s="2" t="s">
        <v>18</v>
      </c>
      <c r="G27" s="2" t="s">
        <v>18</v>
      </c>
      <c r="H27" s="2" t="s">
        <v>18</v>
      </c>
      <c r="I27" s="3">
        <v>8</v>
      </c>
      <c r="J27" s="3">
        <v>2.4029166666666666</v>
      </c>
      <c r="K27" s="13">
        <v>0.35443020833333327</v>
      </c>
      <c r="L27" s="5">
        <v>72</v>
      </c>
      <c r="M27" s="3">
        <v>554.37</v>
      </c>
      <c r="N27" s="3">
        <v>173.01</v>
      </c>
      <c r="O27" s="13">
        <v>0.36825910492992042</v>
      </c>
    </row>
    <row r="28" spans="1:15" ht="18" customHeight="1" x14ac:dyDescent="0.15">
      <c r="A28" t="s">
        <v>18</v>
      </c>
      <c r="B28" t="s">
        <v>18</v>
      </c>
      <c r="C28" s="6" t="s">
        <v>104</v>
      </c>
      <c r="D28" s="7" t="s">
        <v>20</v>
      </c>
      <c r="E28" s="8">
        <v>1</v>
      </c>
      <c r="F28" t="s">
        <v>27</v>
      </c>
      <c r="G28" s="9">
        <v>2.4029166666666666</v>
      </c>
      <c r="H28" s="10">
        <v>2.4029166666666666</v>
      </c>
      <c r="I28" t="s">
        <v>18</v>
      </c>
      <c r="J28" t="s">
        <v>18</v>
      </c>
      <c r="K28" t="s">
        <v>18</v>
      </c>
      <c r="L28" t="s">
        <v>18</v>
      </c>
      <c r="M28" t="s">
        <v>18</v>
      </c>
      <c r="N28" t="s">
        <v>18</v>
      </c>
      <c r="O28" t="s">
        <v>18</v>
      </c>
    </row>
    <row r="30" spans="1:15" ht="20" customHeight="1" x14ac:dyDescent="0.15">
      <c r="A30" s="2" t="s">
        <v>105</v>
      </c>
      <c r="B30" s="2" t="s">
        <v>88</v>
      </c>
      <c r="C30" s="2" t="s">
        <v>18</v>
      </c>
      <c r="D30" s="2" t="s">
        <v>18</v>
      </c>
      <c r="E30" s="2" t="s">
        <v>18</v>
      </c>
      <c r="F30" s="2" t="s">
        <v>18</v>
      </c>
      <c r="G30" s="2" t="s">
        <v>18</v>
      </c>
      <c r="H30" s="2" t="s">
        <v>18</v>
      </c>
      <c r="I30" s="3">
        <v>8</v>
      </c>
      <c r="J30" s="3">
        <v>2.4025000000000003</v>
      </c>
      <c r="K30" s="13">
        <v>0.35436875000000001</v>
      </c>
      <c r="L30" s="5">
        <v>36</v>
      </c>
      <c r="M30" s="3">
        <v>268.28999999999996</v>
      </c>
      <c r="N30" s="3">
        <v>86.490000000000009</v>
      </c>
      <c r="O30" s="13">
        <v>0.38040254948004032</v>
      </c>
    </row>
    <row r="31" spans="1:15" ht="18" customHeight="1" x14ac:dyDescent="0.15">
      <c r="A31" t="s">
        <v>18</v>
      </c>
      <c r="B31" t="s">
        <v>18</v>
      </c>
      <c r="C31" s="6" t="s">
        <v>106</v>
      </c>
      <c r="D31" s="7" t="s">
        <v>20</v>
      </c>
      <c r="E31" s="8">
        <v>1</v>
      </c>
      <c r="F31" t="s">
        <v>27</v>
      </c>
      <c r="G31" s="9">
        <v>2.4025000000000003</v>
      </c>
      <c r="H31" s="10">
        <v>2.4025000000000003</v>
      </c>
      <c r="I31" t="s">
        <v>18</v>
      </c>
      <c r="J31" t="s">
        <v>18</v>
      </c>
      <c r="K31" t="s">
        <v>18</v>
      </c>
      <c r="L31" t="s">
        <v>18</v>
      </c>
      <c r="M31" t="s">
        <v>18</v>
      </c>
      <c r="N31" t="s">
        <v>18</v>
      </c>
      <c r="O31" t="s">
        <v>18</v>
      </c>
    </row>
    <row r="33" spans="1:15" ht="20" customHeight="1" x14ac:dyDescent="0.15">
      <c r="A33" s="2" t="s">
        <v>107</v>
      </c>
      <c r="B33" s="2" t="s">
        <v>88</v>
      </c>
      <c r="C33" s="2" t="s">
        <v>18</v>
      </c>
      <c r="D33" s="2" t="s">
        <v>18</v>
      </c>
      <c r="E33" s="2" t="s">
        <v>18</v>
      </c>
      <c r="F33" s="2" t="s">
        <v>18</v>
      </c>
      <c r="G33" s="2" t="s">
        <v>18</v>
      </c>
      <c r="H33" s="2" t="s">
        <v>18</v>
      </c>
      <c r="I33" s="3">
        <v>9</v>
      </c>
      <c r="J33" s="3">
        <v>2.3312499999999998</v>
      </c>
      <c r="K33" s="4">
        <v>0.30565277777777777</v>
      </c>
      <c r="L33" s="5">
        <v>85</v>
      </c>
      <c r="M33" s="3">
        <v>730.35</v>
      </c>
      <c r="N33" s="3">
        <v>198.15624999999997</v>
      </c>
      <c r="O33" s="4">
        <v>0.32015386458547268</v>
      </c>
    </row>
    <row r="34" spans="1:15" ht="18" customHeight="1" x14ac:dyDescent="0.15">
      <c r="A34" t="s">
        <v>18</v>
      </c>
      <c r="B34" t="s">
        <v>18</v>
      </c>
      <c r="C34" s="6" t="s">
        <v>108</v>
      </c>
      <c r="D34" s="7" t="s">
        <v>20</v>
      </c>
      <c r="E34" s="8">
        <v>1</v>
      </c>
      <c r="F34" t="s">
        <v>27</v>
      </c>
      <c r="G34" s="9">
        <v>2.3312499999999998</v>
      </c>
      <c r="H34" s="10">
        <v>2.3312499999999998</v>
      </c>
      <c r="I34" t="s">
        <v>18</v>
      </c>
      <c r="J34" t="s">
        <v>18</v>
      </c>
      <c r="K34" t="s">
        <v>18</v>
      </c>
      <c r="L34" t="s">
        <v>18</v>
      </c>
      <c r="M34" t="s">
        <v>18</v>
      </c>
      <c r="N34" t="s">
        <v>18</v>
      </c>
      <c r="O34" t="s">
        <v>18</v>
      </c>
    </row>
    <row r="36" spans="1:15" ht="20" customHeight="1" x14ac:dyDescent="0.15">
      <c r="A36" s="2" t="s">
        <v>109</v>
      </c>
      <c r="B36" s="2" t="s">
        <v>88</v>
      </c>
      <c r="C36" s="2" t="s">
        <v>18</v>
      </c>
      <c r="D36" s="2" t="s">
        <v>18</v>
      </c>
      <c r="E36" s="2" t="s">
        <v>18</v>
      </c>
      <c r="F36" s="2" t="s">
        <v>18</v>
      </c>
      <c r="G36" s="2" t="s">
        <v>18</v>
      </c>
      <c r="H36" s="2" t="s">
        <v>18</v>
      </c>
      <c r="I36" s="3">
        <v>10</v>
      </c>
      <c r="J36" s="3">
        <v>4.3508333333333331</v>
      </c>
      <c r="K36" s="13">
        <v>0.51339833333333329</v>
      </c>
      <c r="L36" s="5">
        <v>68</v>
      </c>
      <c r="M36" s="3">
        <v>661</v>
      </c>
      <c r="N36" s="3">
        <v>295.85666666666663</v>
      </c>
      <c r="O36" s="13">
        <v>0.52815562279374684</v>
      </c>
    </row>
    <row r="37" spans="1:15" ht="18" customHeight="1" x14ac:dyDescent="0.15">
      <c r="A37" t="s">
        <v>18</v>
      </c>
      <c r="B37" t="s">
        <v>18</v>
      </c>
      <c r="C37" s="6" t="s">
        <v>110</v>
      </c>
      <c r="D37" s="7" t="s">
        <v>20</v>
      </c>
      <c r="E37" s="8">
        <v>1</v>
      </c>
      <c r="F37" t="s">
        <v>27</v>
      </c>
      <c r="G37" s="9">
        <v>4.3508333333333331</v>
      </c>
      <c r="H37" s="10">
        <v>4.3508333333333331</v>
      </c>
      <c r="I37" t="s">
        <v>18</v>
      </c>
      <c r="J37" t="s">
        <v>18</v>
      </c>
      <c r="K37" t="s">
        <v>18</v>
      </c>
      <c r="L37" t="s">
        <v>18</v>
      </c>
      <c r="M37" t="s">
        <v>18</v>
      </c>
      <c r="N37" t="s">
        <v>18</v>
      </c>
      <c r="O37" t="s">
        <v>18</v>
      </c>
    </row>
    <row r="39" spans="1:15" ht="20" customHeight="1" x14ac:dyDescent="0.15">
      <c r="A39" s="2" t="s">
        <v>111</v>
      </c>
      <c r="B39" s="2" t="s">
        <v>88</v>
      </c>
      <c r="C39" s="2" t="s">
        <v>18</v>
      </c>
      <c r="D39" s="2" t="s">
        <v>18</v>
      </c>
      <c r="E39" s="2" t="s">
        <v>18</v>
      </c>
      <c r="F39" s="2" t="s">
        <v>18</v>
      </c>
      <c r="G39" s="2" t="s">
        <v>18</v>
      </c>
      <c r="H39" s="2" t="s">
        <v>18</v>
      </c>
      <c r="I39" s="3">
        <v>8</v>
      </c>
      <c r="J39" s="3">
        <v>1.8795833333333334</v>
      </c>
      <c r="K39" s="11">
        <v>0.27723854166666667</v>
      </c>
      <c r="L39" s="5">
        <v>93</v>
      </c>
      <c r="M39" s="3">
        <v>673.56</v>
      </c>
      <c r="N39" s="3">
        <v>174.80125000000001</v>
      </c>
      <c r="O39" s="4">
        <v>0.30623177593681333</v>
      </c>
    </row>
    <row r="40" spans="1:15" ht="18" customHeight="1" x14ac:dyDescent="0.15">
      <c r="A40" t="s">
        <v>18</v>
      </c>
      <c r="B40" t="s">
        <v>18</v>
      </c>
      <c r="C40" s="6" t="s">
        <v>112</v>
      </c>
      <c r="D40" s="7" t="s">
        <v>20</v>
      </c>
      <c r="E40" s="8">
        <v>1</v>
      </c>
      <c r="F40" t="s">
        <v>27</v>
      </c>
      <c r="G40" s="9">
        <v>1.8795833333333334</v>
      </c>
      <c r="H40" s="10">
        <v>1.8795833333333334</v>
      </c>
      <c r="I40" t="s">
        <v>18</v>
      </c>
      <c r="J40" t="s">
        <v>18</v>
      </c>
      <c r="K40" t="s">
        <v>18</v>
      </c>
      <c r="L40" t="s">
        <v>18</v>
      </c>
      <c r="M40" t="s">
        <v>18</v>
      </c>
      <c r="N40" t="s">
        <v>18</v>
      </c>
      <c r="O40" t="s">
        <v>18</v>
      </c>
    </row>
    <row r="42" spans="1:15" ht="20" customHeight="1" x14ac:dyDescent="0.15">
      <c r="A42" s="2" t="s">
        <v>113</v>
      </c>
      <c r="B42" s="2" t="s">
        <v>88</v>
      </c>
      <c r="C42" s="2" t="s">
        <v>18</v>
      </c>
      <c r="D42" s="2" t="s">
        <v>18</v>
      </c>
      <c r="E42" s="2" t="s">
        <v>18</v>
      </c>
      <c r="F42" s="2" t="s">
        <v>18</v>
      </c>
      <c r="G42" s="2" t="s">
        <v>18</v>
      </c>
      <c r="H42" s="2" t="s">
        <v>18</v>
      </c>
      <c r="I42" s="3">
        <v>9</v>
      </c>
      <c r="J42" s="3">
        <v>3.7120833333333327</v>
      </c>
      <c r="K42" s="13">
        <v>0.48669537037037031</v>
      </c>
      <c r="L42" s="5">
        <v>38</v>
      </c>
      <c r="M42" s="3">
        <v>255.81000000000003</v>
      </c>
      <c r="N42" s="3">
        <v>141.05916666666664</v>
      </c>
      <c r="O42" s="13">
        <v>0.65067752107684063</v>
      </c>
    </row>
    <row r="43" spans="1:15" ht="18" customHeight="1" x14ac:dyDescent="0.15">
      <c r="A43" t="s">
        <v>18</v>
      </c>
      <c r="B43" t="s">
        <v>18</v>
      </c>
      <c r="C43" s="6" t="s">
        <v>114</v>
      </c>
      <c r="D43" s="7" t="s">
        <v>20</v>
      </c>
      <c r="E43" s="8">
        <v>1</v>
      </c>
      <c r="F43" t="s">
        <v>27</v>
      </c>
      <c r="G43" s="9">
        <v>3.7120833333333327</v>
      </c>
      <c r="H43" s="10">
        <v>3.7120833333333327</v>
      </c>
      <c r="I43" t="s">
        <v>18</v>
      </c>
      <c r="J43" t="s">
        <v>18</v>
      </c>
      <c r="K43" t="s">
        <v>18</v>
      </c>
      <c r="L43" t="s">
        <v>18</v>
      </c>
      <c r="M43" t="s">
        <v>18</v>
      </c>
      <c r="N43" t="s">
        <v>18</v>
      </c>
      <c r="O43" t="s">
        <v>18</v>
      </c>
    </row>
    <row r="45" spans="1:15" ht="20" customHeight="1" x14ac:dyDescent="0.15">
      <c r="A45" s="2" t="s">
        <v>115</v>
      </c>
      <c r="B45" s="2" t="s">
        <v>88</v>
      </c>
      <c r="C45" s="2" t="s">
        <v>18</v>
      </c>
      <c r="D45" s="2" t="s">
        <v>18</v>
      </c>
      <c r="E45" s="2" t="s">
        <v>18</v>
      </c>
      <c r="F45" s="2" t="s">
        <v>18</v>
      </c>
      <c r="G45" s="2" t="s">
        <v>18</v>
      </c>
      <c r="H45" s="2" t="s">
        <v>18</v>
      </c>
      <c r="I45" s="3">
        <v>9</v>
      </c>
      <c r="J45" s="3">
        <v>2.0749999999999997</v>
      </c>
      <c r="K45" s="11">
        <v>0.27205555555555549</v>
      </c>
      <c r="L45" s="5">
        <v>38</v>
      </c>
      <c r="M45" s="3">
        <v>234.19000000000003</v>
      </c>
      <c r="N45" s="3">
        <v>78.849999999999994</v>
      </c>
      <c r="O45" s="13">
        <v>0.39729706648447832</v>
      </c>
    </row>
    <row r="46" spans="1:15" ht="18" customHeight="1" x14ac:dyDescent="0.15">
      <c r="A46" t="s">
        <v>18</v>
      </c>
      <c r="B46" t="s">
        <v>18</v>
      </c>
      <c r="C46" s="6" t="s">
        <v>116</v>
      </c>
      <c r="D46" s="7" t="s">
        <v>20</v>
      </c>
      <c r="E46" s="8">
        <v>1</v>
      </c>
      <c r="F46" t="s">
        <v>27</v>
      </c>
      <c r="G46" s="9">
        <v>2.0749999999999997</v>
      </c>
      <c r="H46" s="10">
        <v>2.0749999999999997</v>
      </c>
      <c r="I46" t="s">
        <v>18</v>
      </c>
      <c r="J46" t="s">
        <v>18</v>
      </c>
      <c r="K46" t="s">
        <v>18</v>
      </c>
      <c r="L46" t="s">
        <v>18</v>
      </c>
      <c r="M46" t="s">
        <v>18</v>
      </c>
      <c r="N46" t="s">
        <v>18</v>
      </c>
      <c r="O46" t="s">
        <v>18</v>
      </c>
    </row>
    <row r="48" spans="1:15" ht="20" customHeight="1" x14ac:dyDescent="0.15">
      <c r="A48" s="2" t="s">
        <v>117</v>
      </c>
      <c r="B48" s="2" t="s">
        <v>88</v>
      </c>
      <c r="C48" s="2" t="s">
        <v>18</v>
      </c>
      <c r="D48" s="2" t="s">
        <v>18</v>
      </c>
      <c r="E48" s="2" t="s">
        <v>18</v>
      </c>
      <c r="F48" s="2" t="s">
        <v>18</v>
      </c>
      <c r="G48" s="2" t="s">
        <v>18</v>
      </c>
      <c r="H48" s="2" t="s">
        <v>18</v>
      </c>
      <c r="I48" s="3">
        <v>9</v>
      </c>
      <c r="J48" s="3">
        <v>2.5516458333333336</v>
      </c>
      <c r="K48" s="4">
        <v>0.33454912037037038</v>
      </c>
      <c r="L48" s="5">
        <v>989</v>
      </c>
      <c r="M48" s="3">
        <v>8729.2300000000014</v>
      </c>
      <c r="N48" s="3">
        <v>2523.5777291666668</v>
      </c>
      <c r="O48" s="4">
        <v>0.34113223278761884</v>
      </c>
    </row>
    <row r="49" spans="1:15" ht="18" customHeight="1" x14ac:dyDescent="0.15">
      <c r="A49" t="s">
        <v>18</v>
      </c>
      <c r="B49" t="s">
        <v>18</v>
      </c>
      <c r="C49" s="6" t="s">
        <v>118</v>
      </c>
      <c r="D49" s="7" t="s">
        <v>20</v>
      </c>
      <c r="E49" s="8">
        <v>1</v>
      </c>
      <c r="F49" t="s">
        <v>27</v>
      </c>
      <c r="G49" s="9">
        <v>2.5516458333333336</v>
      </c>
      <c r="H49" s="10">
        <v>2.5516458333333336</v>
      </c>
      <c r="I49" t="s">
        <v>18</v>
      </c>
      <c r="J49" t="s">
        <v>18</v>
      </c>
      <c r="K49" t="s">
        <v>18</v>
      </c>
      <c r="L49" t="s">
        <v>18</v>
      </c>
      <c r="M49" t="s">
        <v>18</v>
      </c>
      <c r="N49" t="s">
        <v>18</v>
      </c>
      <c r="O49" t="s">
        <v>18</v>
      </c>
    </row>
    <row r="51" spans="1:15" ht="20" customHeight="1" x14ac:dyDescent="0.15">
      <c r="A51" s="2" t="s">
        <v>119</v>
      </c>
      <c r="B51" s="2" t="s">
        <v>88</v>
      </c>
      <c r="C51" s="2" t="s">
        <v>18</v>
      </c>
      <c r="D51" s="2" t="s">
        <v>18</v>
      </c>
      <c r="E51" s="2" t="s">
        <v>18</v>
      </c>
      <c r="F51" s="2" t="s">
        <v>18</v>
      </c>
      <c r="G51" s="2" t="s">
        <v>18</v>
      </c>
      <c r="H51" s="2" t="s">
        <v>18</v>
      </c>
      <c r="I51" s="3">
        <v>9</v>
      </c>
      <c r="J51" s="3">
        <v>2.5499999999999998</v>
      </c>
      <c r="K51" s="4">
        <v>0.33433333333333332</v>
      </c>
      <c r="L51" s="5">
        <v>1249</v>
      </c>
      <c r="M51" s="3">
        <v>11021.5</v>
      </c>
      <c r="N51" s="3">
        <v>3184.95</v>
      </c>
      <c r="O51" s="4">
        <v>0.34099178877648229</v>
      </c>
    </row>
    <row r="52" spans="1:15" ht="18" customHeight="1" x14ac:dyDescent="0.15">
      <c r="A52" t="s">
        <v>18</v>
      </c>
      <c r="B52" t="s">
        <v>18</v>
      </c>
      <c r="C52" s="6" t="s">
        <v>119</v>
      </c>
      <c r="D52" s="7" t="s">
        <v>20</v>
      </c>
      <c r="E52" s="8">
        <v>1</v>
      </c>
      <c r="F52" t="s">
        <v>27</v>
      </c>
      <c r="G52" s="9">
        <v>2.5499999999999998</v>
      </c>
      <c r="H52" s="10">
        <v>2.5499999999999998</v>
      </c>
      <c r="I52" t="s">
        <v>18</v>
      </c>
      <c r="J52" t="s">
        <v>18</v>
      </c>
      <c r="K52" t="s">
        <v>18</v>
      </c>
      <c r="L52" t="s">
        <v>18</v>
      </c>
      <c r="M52" t="s">
        <v>18</v>
      </c>
      <c r="N52" t="s">
        <v>18</v>
      </c>
      <c r="O52" t="s">
        <v>18</v>
      </c>
    </row>
  </sheetData>
  <mergeCells count="1">
    <mergeCell ref="A1:O1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2"/>
  <sheetViews>
    <sheetView topLeftCell="C1" workbookViewId="0">
      <pane ySplit="2" topLeftCell="A3" activePane="bottomLeft" state="frozen"/>
      <selection pane="bottomLeft" activeCell="J22" sqref="J22"/>
    </sheetView>
    <sheetView workbookViewId="1">
      <selection sqref="A1:O1"/>
    </sheetView>
  </sheetViews>
  <sheetFormatPr baseColWidth="10" defaultColWidth="8.83203125" defaultRowHeight="14" x14ac:dyDescent="0.15"/>
  <cols>
    <col min="1" max="1" width="28" customWidth="1"/>
    <col min="2" max="2" width="16" customWidth="1"/>
    <col min="3" max="3" width="28" customWidth="1"/>
    <col min="4" max="4" width="12" customWidth="1"/>
    <col min="5" max="6" width="8" customWidth="1"/>
    <col min="7" max="7" width="14" customWidth="1"/>
    <col min="8" max="9" width="18" customWidth="1"/>
    <col min="10" max="10" width="14" customWidth="1"/>
    <col min="11" max="12" width="10" customWidth="1"/>
    <col min="13" max="13" width="20" customWidth="1"/>
    <col min="14" max="14" width="24" customWidth="1"/>
    <col min="15" max="15" width="16" customWidth="1"/>
  </cols>
  <sheetData>
    <row r="1" spans="1:15" ht="18" customHeight="1" x14ac:dyDescent="0.15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</row>
    <row r="2" spans="1:15" ht="32" customHeight="1" x14ac:dyDescent="0.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 spans="1:15" ht="20" customHeight="1" x14ac:dyDescent="0.15">
      <c r="A3" s="2" t="s">
        <v>120</v>
      </c>
      <c r="B3" s="2" t="s">
        <v>121</v>
      </c>
      <c r="C3" s="2" t="s">
        <v>18</v>
      </c>
      <c r="D3" s="2" t="s">
        <v>18</v>
      </c>
      <c r="E3" s="2" t="s">
        <v>18</v>
      </c>
      <c r="F3" s="2" t="s">
        <v>18</v>
      </c>
      <c r="G3" s="2" t="s">
        <v>18</v>
      </c>
      <c r="H3" s="2" t="s">
        <v>18</v>
      </c>
      <c r="I3" s="3">
        <v>35</v>
      </c>
      <c r="J3" s="3">
        <v>10.1142</v>
      </c>
      <c r="K3" s="4">
        <v>0.34099302857142855</v>
      </c>
      <c r="L3" s="5">
        <v>682</v>
      </c>
      <c r="M3" s="3">
        <f>L3*(I3/1.18)</f>
        <v>20228.813559322036</v>
      </c>
      <c r="N3" s="3">
        <f>L3*J3</f>
        <v>6897.8843999999999</v>
      </c>
      <c r="O3" s="4">
        <f>N3/M3</f>
        <v>0.34099302857142855</v>
      </c>
    </row>
    <row r="4" spans="1:15" ht="18" customHeight="1" x14ac:dyDescent="0.15">
      <c r="A4" t="s">
        <v>18</v>
      </c>
      <c r="B4" t="s">
        <v>18</v>
      </c>
      <c r="C4" s="6" t="s">
        <v>30</v>
      </c>
      <c r="D4" s="7" t="s">
        <v>31</v>
      </c>
      <c r="E4" s="8">
        <v>1</v>
      </c>
      <c r="F4" t="s">
        <v>32</v>
      </c>
      <c r="G4" s="9">
        <v>0.7</v>
      </c>
      <c r="H4" s="10">
        <v>0.7</v>
      </c>
      <c r="I4" t="s">
        <v>18</v>
      </c>
      <c r="J4" t="s">
        <v>18</v>
      </c>
      <c r="K4" t="s">
        <v>18</v>
      </c>
      <c r="L4" t="s">
        <v>18</v>
      </c>
      <c r="M4" t="s">
        <v>18</v>
      </c>
      <c r="N4" t="s">
        <v>18</v>
      </c>
      <c r="O4" t="s">
        <v>18</v>
      </c>
    </row>
    <row r="5" spans="1:15" ht="18" customHeight="1" x14ac:dyDescent="0.15">
      <c r="A5" t="s">
        <v>18</v>
      </c>
      <c r="B5" t="s">
        <v>18</v>
      </c>
      <c r="C5" s="6" t="s">
        <v>122</v>
      </c>
      <c r="D5" s="7" t="s">
        <v>35</v>
      </c>
      <c r="E5" s="8">
        <v>0.11</v>
      </c>
      <c r="F5" t="s">
        <v>36</v>
      </c>
      <c r="G5" s="9">
        <v>38</v>
      </c>
      <c r="H5" s="10">
        <v>4.18</v>
      </c>
      <c r="I5" t="s">
        <v>18</v>
      </c>
      <c r="J5" t="s">
        <v>18</v>
      </c>
      <c r="K5" t="s">
        <v>18</v>
      </c>
      <c r="L5" t="s">
        <v>18</v>
      </c>
      <c r="M5" t="s">
        <v>18</v>
      </c>
      <c r="N5" t="s">
        <v>18</v>
      </c>
      <c r="O5" t="s">
        <v>18</v>
      </c>
    </row>
    <row r="6" spans="1:15" ht="18" customHeight="1" x14ac:dyDescent="0.15">
      <c r="A6" t="s">
        <v>18</v>
      </c>
      <c r="B6" t="s">
        <v>18</v>
      </c>
      <c r="C6" s="6" t="s">
        <v>123</v>
      </c>
      <c r="D6" s="7" t="s">
        <v>35</v>
      </c>
      <c r="E6" s="8">
        <v>0.02</v>
      </c>
      <c r="F6" t="s">
        <v>36</v>
      </c>
      <c r="G6" s="9">
        <v>12.05</v>
      </c>
      <c r="H6" s="10">
        <v>0.24100000000000002</v>
      </c>
      <c r="I6" t="s">
        <v>18</v>
      </c>
      <c r="J6" t="s">
        <v>18</v>
      </c>
      <c r="K6" t="s">
        <v>18</v>
      </c>
      <c r="L6" t="s">
        <v>18</v>
      </c>
      <c r="M6" t="s">
        <v>18</v>
      </c>
      <c r="N6" t="s">
        <v>18</v>
      </c>
      <c r="O6" t="s">
        <v>18</v>
      </c>
    </row>
    <row r="7" spans="1:15" ht="18" customHeight="1" x14ac:dyDescent="0.15">
      <c r="A7" t="s">
        <v>18</v>
      </c>
      <c r="B7" t="s">
        <v>18</v>
      </c>
      <c r="C7" s="6" t="s">
        <v>124</v>
      </c>
      <c r="D7" s="7" t="s">
        <v>35</v>
      </c>
      <c r="E7" s="8">
        <v>0.02</v>
      </c>
      <c r="F7" t="s">
        <v>36</v>
      </c>
      <c r="G7" s="9">
        <v>8.3000000000000007</v>
      </c>
      <c r="H7" s="10">
        <v>0.16600000000000001</v>
      </c>
      <c r="I7" t="s">
        <v>18</v>
      </c>
      <c r="J7" t="s">
        <v>18</v>
      </c>
      <c r="K7" t="s">
        <v>18</v>
      </c>
      <c r="L7" t="s">
        <v>18</v>
      </c>
      <c r="M7" t="s">
        <v>18</v>
      </c>
      <c r="N7" t="s">
        <v>18</v>
      </c>
      <c r="O7" t="s">
        <v>18</v>
      </c>
    </row>
    <row r="8" spans="1:15" ht="18" customHeight="1" x14ac:dyDescent="0.15">
      <c r="A8" t="s">
        <v>18</v>
      </c>
      <c r="B8" t="s">
        <v>18</v>
      </c>
      <c r="C8" s="6" t="s">
        <v>125</v>
      </c>
      <c r="D8" s="7" t="s">
        <v>20</v>
      </c>
      <c r="E8" s="8">
        <v>0.02</v>
      </c>
      <c r="F8" t="s">
        <v>21</v>
      </c>
      <c r="G8" s="9">
        <v>9.5</v>
      </c>
      <c r="H8" s="10">
        <v>0.19</v>
      </c>
      <c r="I8" t="s">
        <v>18</v>
      </c>
      <c r="J8" t="s">
        <v>18</v>
      </c>
      <c r="K8" t="s">
        <v>18</v>
      </c>
      <c r="L8" t="s">
        <v>18</v>
      </c>
      <c r="M8" t="s">
        <v>18</v>
      </c>
      <c r="N8" t="s">
        <v>18</v>
      </c>
      <c r="O8" t="s">
        <v>18</v>
      </c>
    </row>
    <row r="9" spans="1:15" ht="18" customHeight="1" x14ac:dyDescent="0.15">
      <c r="A9" t="s">
        <v>18</v>
      </c>
      <c r="B9" t="s">
        <v>18</v>
      </c>
      <c r="C9" s="6" t="s">
        <v>126</v>
      </c>
      <c r="D9" s="7" t="s">
        <v>20</v>
      </c>
      <c r="E9" s="8">
        <v>0.04</v>
      </c>
      <c r="F9" t="s">
        <v>21</v>
      </c>
      <c r="G9" s="9">
        <v>10</v>
      </c>
      <c r="H9" s="10">
        <v>0.4</v>
      </c>
      <c r="I9" t="s">
        <v>18</v>
      </c>
      <c r="J9" t="s">
        <v>18</v>
      </c>
      <c r="K9" t="s">
        <v>18</v>
      </c>
      <c r="L9" t="s">
        <v>18</v>
      </c>
      <c r="M9" t="s">
        <v>18</v>
      </c>
      <c r="N9" t="s">
        <v>18</v>
      </c>
      <c r="O9" t="s">
        <v>18</v>
      </c>
    </row>
    <row r="10" spans="1:15" ht="18" customHeight="1" x14ac:dyDescent="0.15">
      <c r="A10" t="s">
        <v>18</v>
      </c>
      <c r="B10" t="s">
        <v>18</v>
      </c>
      <c r="C10" s="6" t="s">
        <v>59</v>
      </c>
      <c r="D10" s="7" t="s">
        <v>20</v>
      </c>
      <c r="E10" s="8">
        <v>0.17</v>
      </c>
      <c r="F10" t="s">
        <v>21</v>
      </c>
      <c r="G10" s="9">
        <v>13.16</v>
      </c>
      <c r="H10" s="10">
        <v>2.2372000000000001</v>
      </c>
      <c r="I10" t="s">
        <v>18</v>
      </c>
      <c r="J10" t="s">
        <v>18</v>
      </c>
      <c r="K10" t="s">
        <v>18</v>
      </c>
      <c r="L10" t="s">
        <v>18</v>
      </c>
      <c r="M10" t="s">
        <v>18</v>
      </c>
      <c r="N10" t="s">
        <v>18</v>
      </c>
      <c r="O10" t="s">
        <v>18</v>
      </c>
    </row>
    <row r="11" spans="1:15" ht="18" customHeight="1" x14ac:dyDescent="0.15">
      <c r="A11" t="s">
        <v>18</v>
      </c>
      <c r="B11" t="s">
        <v>18</v>
      </c>
      <c r="C11" s="6" t="s">
        <v>127</v>
      </c>
      <c r="D11" s="7" t="s">
        <v>20</v>
      </c>
      <c r="E11" s="8">
        <v>1</v>
      </c>
      <c r="F11" t="s">
        <v>27</v>
      </c>
      <c r="G11" s="9">
        <v>2</v>
      </c>
      <c r="H11" s="10">
        <v>2</v>
      </c>
      <c r="I11" t="s">
        <v>18</v>
      </c>
      <c r="J11" t="s">
        <v>18</v>
      </c>
      <c r="K11" t="s">
        <v>18</v>
      </c>
      <c r="L11" t="s">
        <v>18</v>
      </c>
      <c r="M11" t="s">
        <v>18</v>
      </c>
      <c r="N11" t="s">
        <v>18</v>
      </c>
      <c r="O11" t="s">
        <v>18</v>
      </c>
    </row>
    <row r="13" spans="1:15" ht="20" customHeight="1" x14ac:dyDescent="0.15">
      <c r="A13" s="2" t="s">
        <v>128</v>
      </c>
      <c r="B13" s="2" t="s">
        <v>121</v>
      </c>
      <c r="C13" s="2" t="s">
        <v>18</v>
      </c>
      <c r="D13" s="2" t="s">
        <v>18</v>
      </c>
      <c r="E13" s="2" t="s">
        <v>18</v>
      </c>
      <c r="F13" s="2" t="s">
        <v>18</v>
      </c>
      <c r="G13" s="2" t="s">
        <v>18</v>
      </c>
      <c r="H13" s="2" t="s">
        <v>18</v>
      </c>
      <c r="I13" s="3">
        <v>35</v>
      </c>
      <c r="J13" s="3">
        <v>9.5826999999999991</v>
      </c>
      <c r="K13" s="4">
        <v>0.32307388571428569</v>
      </c>
      <c r="L13" s="5">
        <v>105</v>
      </c>
      <c r="M13" s="3">
        <f>L13*(I13/1.18)</f>
        <v>3114.406779661017</v>
      </c>
      <c r="N13" s="3">
        <f>L13*J13</f>
        <v>1006.1834999999999</v>
      </c>
      <c r="O13" s="4">
        <f>N13/M13</f>
        <v>0.32307388571428569</v>
      </c>
    </row>
    <row r="14" spans="1:15" ht="18" customHeight="1" x14ac:dyDescent="0.15">
      <c r="A14" t="s">
        <v>18</v>
      </c>
      <c r="B14" t="s">
        <v>18</v>
      </c>
      <c r="C14" s="6" t="s">
        <v>129</v>
      </c>
      <c r="D14" s="7" t="s">
        <v>20</v>
      </c>
      <c r="E14" s="8">
        <v>0.12</v>
      </c>
      <c r="F14" t="s">
        <v>21</v>
      </c>
      <c r="G14" s="9">
        <v>28</v>
      </c>
      <c r="H14" s="10">
        <v>3.36</v>
      </c>
      <c r="I14" t="s">
        <v>18</v>
      </c>
      <c r="J14" t="s">
        <v>18</v>
      </c>
      <c r="K14" t="s">
        <v>18</v>
      </c>
      <c r="L14" t="s">
        <v>18</v>
      </c>
      <c r="M14" t="s">
        <v>18</v>
      </c>
      <c r="N14" t="s">
        <v>18</v>
      </c>
      <c r="O14" t="s">
        <v>18</v>
      </c>
    </row>
    <row r="15" spans="1:15" ht="18" customHeight="1" x14ac:dyDescent="0.15">
      <c r="A15" t="s">
        <v>18</v>
      </c>
      <c r="B15" t="s">
        <v>18</v>
      </c>
      <c r="C15" s="6" t="s">
        <v>123</v>
      </c>
      <c r="D15" s="7" t="s">
        <v>35</v>
      </c>
      <c r="E15" s="8">
        <v>0.03</v>
      </c>
      <c r="F15" t="s">
        <v>36</v>
      </c>
      <c r="G15" s="9">
        <v>12.05</v>
      </c>
      <c r="H15" s="10">
        <v>0.36149999999999999</v>
      </c>
      <c r="I15" t="s">
        <v>18</v>
      </c>
      <c r="J15" t="s">
        <v>18</v>
      </c>
      <c r="K15" t="s">
        <v>18</v>
      </c>
      <c r="L15" t="s">
        <v>18</v>
      </c>
      <c r="M15" t="s">
        <v>18</v>
      </c>
      <c r="N15" t="s">
        <v>18</v>
      </c>
      <c r="O15" t="s">
        <v>18</v>
      </c>
    </row>
    <row r="16" spans="1:15" ht="18" customHeight="1" x14ac:dyDescent="0.15">
      <c r="A16" t="s">
        <v>18</v>
      </c>
      <c r="B16" t="s">
        <v>18</v>
      </c>
      <c r="C16" s="6" t="s">
        <v>124</v>
      </c>
      <c r="D16" s="7" t="s">
        <v>35</v>
      </c>
      <c r="E16" s="8">
        <v>0.03</v>
      </c>
      <c r="F16" t="s">
        <v>36</v>
      </c>
      <c r="G16" s="9">
        <v>8.3000000000000007</v>
      </c>
      <c r="H16" s="10">
        <v>0.249</v>
      </c>
      <c r="I16" t="s">
        <v>18</v>
      </c>
      <c r="J16" t="s">
        <v>18</v>
      </c>
      <c r="K16" t="s">
        <v>18</v>
      </c>
      <c r="L16" t="s">
        <v>18</v>
      </c>
      <c r="M16" t="s">
        <v>18</v>
      </c>
      <c r="N16" t="s">
        <v>18</v>
      </c>
      <c r="O16" t="s">
        <v>18</v>
      </c>
    </row>
    <row r="17" spans="1:15" ht="18" customHeight="1" x14ac:dyDescent="0.15">
      <c r="A17" t="s">
        <v>18</v>
      </c>
      <c r="B17" t="s">
        <v>18</v>
      </c>
      <c r="C17" s="6" t="s">
        <v>125</v>
      </c>
      <c r="D17" s="7" t="s">
        <v>20</v>
      </c>
      <c r="E17" s="8">
        <v>0.03</v>
      </c>
      <c r="F17" t="s">
        <v>21</v>
      </c>
      <c r="G17" s="9">
        <v>9.5</v>
      </c>
      <c r="H17" s="10">
        <v>0.28499999999999998</v>
      </c>
      <c r="I17" t="s">
        <v>18</v>
      </c>
      <c r="J17" t="s">
        <v>18</v>
      </c>
      <c r="K17" t="s">
        <v>18</v>
      </c>
      <c r="L17" t="s">
        <v>18</v>
      </c>
      <c r="M17" t="s">
        <v>18</v>
      </c>
      <c r="N17" t="s">
        <v>18</v>
      </c>
      <c r="O17" t="s">
        <v>18</v>
      </c>
    </row>
    <row r="18" spans="1:15" ht="18" customHeight="1" x14ac:dyDescent="0.15">
      <c r="A18" t="s">
        <v>18</v>
      </c>
      <c r="B18" t="s">
        <v>18</v>
      </c>
      <c r="C18" s="6" t="s">
        <v>126</v>
      </c>
      <c r="D18" s="7" t="s">
        <v>20</v>
      </c>
      <c r="E18" s="8">
        <v>0.03</v>
      </c>
      <c r="F18" t="s">
        <v>21</v>
      </c>
      <c r="G18" s="9">
        <v>10</v>
      </c>
      <c r="H18" s="10">
        <v>0.3</v>
      </c>
      <c r="I18" t="s">
        <v>18</v>
      </c>
      <c r="J18" t="s">
        <v>18</v>
      </c>
      <c r="K18" t="s">
        <v>18</v>
      </c>
      <c r="L18" t="s">
        <v>18</v>
      </c>
      <c r="M18" t="s">
        <v>18</v>
      </c>
      <c r="N18" t="s">
        <v>18</v>
      </c>
      <c r="O18" t="s">
        <v>18</v>
      </c>
    </row>
    <row r="19" spans="1:15" ht="18" customHeight="1" x14ac:dyDescent="0.15">
      <c r="A19" t="s">
        <v>18</v>
      </c>
      <c r="B19" t="s">
        <v>18</v>
      </c>
      <c r="C19" s="6" t="s">
        <v>59</v>
      </c>
      <c r="D19" s="7" t="s">
        <v>20</v>
      </c>
      <c r="E19" s="8">
        <v>0.17</v>
      </c>
      <c r="F19" t="s">
        <v>21</v>
      </c>
      <c r="G19" s="9">
        <v>13.16</v>
      </c>
      <c r="H19" s="10">
        <v>2.2372000000000001</v>
      </c>
      <c r="I19" t="s">
        <v>18</v>
      </c>
      <c r="J19" t="s">
        <v>18</v>
      </c>
      <c r="K19" t="s">
        <v>18</v>
      </c>
      <c r="L19" t="s">
        <v>18</v>
      </c>
      <c r="M19" t="s">
        <v>18</v>
      </c>
      <c r="N19" t="s">
        <v>18</v>
      </c>
      <c r="O19" t="s">
        <v>18</v>
      </c>
    </row>
    <row r="20" spans="1:15" ht="18" customHeight="1" x14ac:dyDescent="0.15">
      <c r="A20" t="s">
        <v>18</v>
      </c>
      <c r="B20" t="s">
        <v>18</v>
      </c>
      <c r="C20" s="6" t="s">
        <v>130</v>
      </c>
      <c r="D20" s="7" t="s">
        <v>35</v>
      </c>
      <c r="E20" s="8">
        <v>0.05</v>
      </c>
      <c r="F20" t="s">
        <v>36</v>
      </c>
      <c r="G20" s="9">
        <v>14.06</v>
      </c>
      <c r="H20" s="10">
        <v>0.70300000000000007</v>
      </c>
      <c r="I20" t="s">
        <v>18</v>
      </c>
      <c r="J20" t="s">
        <v>18</v>
      </c>
      <c r="K20" t="s">
        <v>18</v>
      </c>
      <c r="L20" t="s">
        <v>18</v>
      </c>
      <c r="M20" t="s">
        <v>18</v>
      </c>
      <c r="N20" t="s">
        <v>18</v>
      </c>
      <c r="O20" t="s">
        <v>18</v>
      </c>
    </row>
    <row r="21" spans="1:15" ht="18" customHeight="1" x14ac:dyDescent="0.15">
      <c r="A21" t="s">
        <v>18</v>
      </c>
      <c r="B21" t="s">
        <v>18</v>
      </c>
      <c r="C21" s="6" t="s">
        <v>131</v>
      </c>
      <c r="D21" s="7" t="s">
        <v>20</v>
      </c>
      <c r="E21" s="8">
        <v>1.4999999999999999E-2</v>
      </c>
      <c r="F21" t="s">
        <v>21</v>
      </c>
      <c r="G21" s="9">
        <v>5.8</v>
      </c>
      <c r="H21" s="10">
        <v>8.6999999999999994E-2</v>
      </c>
      <c r="I21" t="s">
        <v>18</v>
      </c>
      <c r="J21" t="s">
        <v>18</v>
      </c>
      <c r="K21" t="s">
        <v>18</v>
      </c>
      <c r="L21" t="s">
        <v>18</v>
      </c>
      <c r="M21" t="s">
        <v>18</v>
      </c>
      <c r="N21" t="s">
        <v>18</v>
      </c>
      <c r="O21" t="s">
        <v>18</v>
      </c>
    </row>
    <row r="22" spans="1:15" ht="18" customHeight="1" x14ac:dyDescent="0.15">
      <c r="A22" t="s">
        <v>18</v>
      </c>
      <c r="B22" t="s">
        <v>18</v>
      </c>
      <c r="C22" s="6" t="s">
        <v>127</v>
      </c>
      <c r="D22" s="7" t="s">
        <v>20</v>
      </c>
      <c r="E22" s="8">
        <v>1</v>
      </c>
      <c r="F22" t="s">
        <v>27</v>
      </c>
      <c r="G22" s="9">
        <v>2</v>
      </c>
      <c r="H22" s="10">
        <v>2</v>
      </c>
      <c r="I22" t="s">
        <v>18</v>
      </c>
      <c r="J22" t="s">
        <v>18</v>
      </c>
      <c r="K22" t="s">
        <v>18</v>
      </c>
      <c r="L22" t="s">
        <v>18</v>
      </c>
      <c r="M22" t="s">
        <v>18</v>
      </c>
      <c r="N22" t="s">
        <v>18</v>
      </c>
      <c r="O22" t="s">
        <v>18</v>
      </c>
    </row>
  </sheetData>
  <mergeCells count="1">
    <mergeCell ref="A1:O1"/>
  </mergeCell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3"/>
  <sheetViews>
    <sheetView topLeftCell="B1" workbookViewId="0">
      <pane ySplit="2" topLeftCell="A3" activePane="bottomLeft" state="frozen"/>
      <selection pane="bottomLeft" activeCell="E23" sqref="E23"/>
    </sheetView>
    <sheetView topLeftCell="J1" workbookViewId="1">
      <selection sqref="A1:O1"/>
    </sheetView>
  </sheetViews>
  <sheetFormatPr baseColWidth="10" defaultColWidth="8.83203125" defaultRowHeight="14" x14ac:dyDescent="0.15"/>
  <cols>
    <col min="1" max="1" width="28" customWidth="1"/>
    <col min="2" max="2" width="16" customWidth="1"/>
    <col min="3" max="3" width="28" customWidth="1"/>
    <col min="4" max="4" width="12" customWidth="1"/>
    <col min="5" max="6" width="8" customWidth="1"/>
    <col min="7" max="7" width="14" customWidth="1"/>
    <col min="8" max="9" width="18" customWidth="1"/>
    <col min="10" max="10" width="14" customWidth="1"/>
    <col min="11" max="12" width="10" customWidth="1"/>
    <col min="13" max="13" width="20" customWidth="1"/>
    <col min="14" max="14" width="24" customWidth="1"/>
    <col min="15" max="15" width="16" customWidth="1"/>
  </cols>
  <sheetData>
    <row r="1" spans="1:15" ht="18" customHeight="1" x14ac:dyDescent="0.15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</row>
    <row r="2" spans="1:15" ht="32" customHeight="1" x14ac:dyDescent="0.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 spans="1:15" ht="20" customHeight="1" x14ac:dyDescent="0.15">
      <c r="A3" s="2" t="s">
        <v>132</v>
      </c>
      <c r="B3" s="2" t="s">
        <v>133</v>
      </c>
      <c r="C3" s="2" t="s">
        <v>18</v>
      </c>
      <c r="D3" s="2" t="s">
        <v>18</v>
      </c>
      <c r="E3" s="2" t="s">
        <v>18</v>
      </c>
      <c r="F3" s="2" t="s">
        <v>18</v>
      </c>
      <c r="G3" s="2" t="s">
        <v>18</v>
      </c>
      <c r="H3" s="2" t="s">
        <v>18</v>
      </c>
      <c r="I3" s="3">
        <v>10</v>
      </c>
      <c r="J3" s="3">
        <v>1.52</v>
      </c>
      <c r="K3" s="11">
        <v>0.17935999999999999</v>
      </c>
      <c r="L3" s="5">
        <v>37</v>
      </c>
      <c r="M3" s="3">
        <f>L3*(I3/1.18)</f>
        <v>313.5593220338983</v>
      </c>
      <c r="N3" s="3">
        <f>L3*J3</f>
        <v>56.24</v>
      </c>
      <c r="O3" s="4">
        <f>N3/M3</f>
        <v>0.17936000000000002</v>
      </c>
    </row>
    <row r="4" spans="1:15" ht="18" customHeight="1" x14ac:dyDescent="0.15">
      <c r="A4" t="s">
        <v>18</v>
      </c>
      <c r="B4" t="s">
        <v>18</v>
      </c>
      <c r="C4" s="6" t="s">
        <v>122</v>
      </c>
      <c r="D4" s="7" t="s">
        <v>35</v>
      </c>
      <c r="E4" s="8">
        <v>0.04</v>
      </c>
      <c r="F4" t="s">
        <v>36</v>
      </c>
      <c r="G4" s="9">
        <v>38</v>
      </c>
      <c r="H4" s="10">
        <v>1.52</v>
      </c>
      <c r="I4" t="s">
        <v>18</v>
      </c>
      <c r="J4" t="s">
        <v>18</v>
      </c>
      <c r="K4" t="s">
        <v>18</v>
      </c>
      <c r="L4" t="s">
        <v>18</v>
      </c>
      <c r="M4" t="s">
        <v>18</v>
      </c>
      <c r="N4" t="s">
        <v>18</v>
      </c>
      <c r="O4" t="s">
        <v>18</v>
      </c>
    </row>
    <row r="6" spans="1:15" ht="20" customHeight="1" x14ac:dyDescent="0.15">
      <c r="A6" s="2" t="s">
        <v>134</v>
      </c>
      <c r="B6" s="2" t="s">
        <v>133</v>
      </c>
      <c r="C6" s="2" t="s">
        <v>18</v>
      </c>
      <c r="D6" s="2" t="s">
        <v>18</v>
      </c>
      <c r="E6" s="2" t="s">
        <v>18</v>
      </c>
      <c r="F6" s="2" t="s">
        <v>18</v>
      </c>
      <c r="G6" s="2" t="s">
        <v>18</v>
      </c>
      <c r="H6" s="2" t="s">
        <v>18</v>
      </c>
      <c r="I6" s="3">
        <v>15</v>
      </c>
      <c r="J6" s="3">
        <v>2.66</v>
      </c>
      <c r="K6" s="11">
        <v>0.20925333333333335</v>
      </c>
      <c r="L6" s="5">
        <v>123</v>
      </c>
      <c r="M6" s="3">
        <f>L6*(I6/1.18)</f>
        <v>1563.5593220338983</v>
      </c>
      <c r="N6" s="3">
        <f>L6*J6</f>
        <v>327.18</v>
      </c>
      <c r="O6" s="4">
        <f>N6/M6</f>
        <v>0.20925333333333335</v>
      </c>
    </row>
    <row r="7" spans="1:15" ht="18" customHeight="1" x14ac:dyDescent="0.15">
      <c r="A7" t="s">
        <v>18</v>
      </c>
      <c r="B7" t="s">
        <v>18</v>
      </c>
      <c r="C7" s="6" t="s">
        <v>122</v>
      </c>
      <c r="D7" s="7" t="s">
        <v>35</v>
      </c>
      <c r="E7" s="8">
        <v>7.0000000000000007E-2</v>
      </c>
      <c r="F7" t="s">
        <v>36</v>
      </c>
      <c r="G7" s="9">
        <v>38</v>
      </c>
      <c r="H7" s="10">
        <v>2.66</v>
      </c>
      <c r="I7" t="s">
        <v>18</v>
      </c>
      <c r="J7" t="s">
        <v>18</v>
      </c>
      <c r="K7" t="s">
        <v>18</v>
      </c>
      <c r="L7" t="s">
        <v>18</v>
      </c>
      <c r="M7" t="s">
        <v>18</v>
      </c>
      <c r="N7" t="s">
        <v>18</v>
      </c>
      <c r="O7" t="s">
        <v>18</v>
      </c>
    </row>
    <row r="9" spans="1:15" ht="20" customHeight="1" x14ac:dyDescent="0.15">
      <c r="A9" s="2" t="s">
        <v>135</v>
      </c>
      <c r="B9" s="2" t="s">
        <v>133</v>
      </c>
      <c r="C9" s="2" t="s">
        <v>18</v>
      </c>
      <c r="D9" s="2" t="s">
        <v>18</v>
      </c>
      <c r="E9" s="2" t="s">
        <v>18</v>
      </c>
      <c r="F9" s="2" t="s">
        <v>18</v>
      </c>
      <c r="G9" s="2" t="s">
        <v>18</v>
      </c>
      <c r="H9" s="2" t="s">
        <v>18</v>
      </c>
      <c r="I9" s="3">
        <v>20</v>
      </c>
      <c r="J9" s="3">
        <v>5.7</v>
      </c>
      <c r="K9" s="4">
        <v>0.33629999999999993</v>
      </c>
      <c r="L9" s="5">
        <v>253</v>
      </c>
      <c r="M9" s="3">
        <f>L9*(I9/1.18)</f>
        <v>4288.1355932203396</v>
      </c>
      <c r="N9" s="3">
        <f>L9*J9</f>
        <v>1442.1000000000001</v>
      </c>
      <c r="O9" s="4">
        <f>N9/M9</f>
        <v>0.33629999999999999</v>
      </c>
    </row>
    <row r="10" spans="1:15" ht="18" customHeight="1" x14ac:dyDescent="0.15">
      <c r="A10" t="s">
        <v>18</v>
      </c>
      <c r="B10" t="s">
        <v>18</v>
      </c>
      <c r="C10" s="6" t="s">
        <v>122</v>
      </c>
      <c r="D10" s="7" t="s">
        <v>35</v>
      </c>
      <c r="E10" s="8">
        <v>0.15</v>
      </c>
      <c r="F10" t="s">
        <v>36</v>
      </c>
      <c r="G10" s="9">
        <v>38</v>
      </c>
      <c r="H10" s="10">
        <v>5.7</v>
      </c>
      <c r="I10" t="s">
        <v>18</v>
      </c>
      <c r="J10" t="s">
        <v>18</v>
      </c>
      <c r="K10" t="s">
        <v>18</v>
      </c>
      <c r="L10" t="s">
        <v>18</v>
      </c>
      <c r="M10" t="s">
        <v>18</v>
      </c>
      <c r="N10" t="s">
        <v>18</v>
      </c>
      <c r="O10" t="s">
        <v>18</v>
      </c>
    </row>
    <row r="12" spans="1:15" ht="20" customHeight="1" x14ac:dyDescent="0.15">
      <c r="A12" s="2" t="s">
        <v>136</v>
      </c>
      <c r="B12" s="2" t="s">
        <v>133</v>
      </c>
      <c r="C12" s="2" t="s">
        <v>18</v>
      </c>
      <c r="D12" s="2" t="s">
        <v>18</v>
      </c>
      <c r="E12" s="2" t="s">
        <v>18</v>
      </c>
      <c r="F12" s="2" t="s">
        <v>18</v>
      </c>
      <c r="G12" s="2" t="s">
        <v>18</v>
      </c>
      <c r="H12" s="2" t="s">
        <v>18</v>
      </c>
      <c r="I12" s="3">
        <v>30</v>
      </c>
      <c r="J12" s="3">
        <v>11.4</v>
      </c>
      <c r="K12" s="13">
        <v>0.44840000000000002</v>
      </c>
      <c r="L12" s="5">
        <v>46</v>
      </c>
      <c r="M12" s="3">
        <f>L12*(I12/1.18)</f>
        <v>1169.4915254237287</v>
      </c>
      <c r="N12" s="3">
        <f>L12*J12</f>
        <v>524.4</v>
      </c>
      <c r="O12" s="4">
        <f>N12/M12</f>
        <v>0.44840000000000002</v>
      </c>
    </row>
    <row r="13" spans="1:15" ht="18" customHeight="1" x14ac:dyDescent="0.15">
      <c r="A13" t="s">
        <v>18</v>
      </c>
      <c r="B13" t="s">
        <v>18</v>
      </c>
      <c r="C13" s="6" t="s">
        <v>122</v>
      </c>
      <c r="D13" s="7" t="s">
        <v>35</v>
      </c>
      <c r="E13" s="8">
        <v>0.3</v>
      </c>
      <c r="F13" t="s">
        <v>36</v>
      </c>
      <c r="G13" s="9">
        <v>38</v>
      </c>
      <c r="H13" s="10">
        <v>11.4</v>
      </c>
      <c r="I13" t="s">
        <v>18</v>
      </c>
      <c r="J13" t="s">
        <v>18</v>
      </c>
      <c r="K13" t="s">
        <v>18</v>
      </c>
      <c r="L13" t="s">
        <v>18</v>
      </c>
      <c r="M13" t="s">
        <v>18</v>
      </c>
      <c r="N13" t="s">
        <v>18</v>
      </c>
      <c r="O13" t="s">
        <v>18</v>
      </c>
    </row>
  </sheetData>
  <mergeCells count="1">
    <mergeCell ref="A1:O1"/>
  </mergeCell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8"/>
  <sheetViews>
    <sheetView workbookViewId="0">
      <pane ySplit="2" topLeftCell="A3" activePane="bottomLeft" state="frozen"/>
      <selection pane="bottomLeft" activeCell="K4" sqref="K4"/>
    </sheetView>
    <sheetView topLeftCell="H1" workbookViewId="1">
      <selection activeCell="M6" sqref="M6"/>
    </sheetView>
  </sheetViews>
  <sheetFormatPr baseColWidth="10" defaultColWidth="8.83203125" defaultRowHeight="14" x14ac:dyDescent="0.15"/>
  <cols>
    <col min="1" max="1" width="28" customWidth="1"/>
    <col min="2" max="2" width="16" customWidth="1"/>
    <col min="3" max="3" width="28" customWidth="1"/>
    <col min="4" max="4" width="12" customWidth="1"/>
    <col min="5" max="6" width="8" customWidth="1"/>
    <col min="7" max="7" width="14" customWidth="1"/>
    <col min="8" max="9" width="18" customWidth="1"/>
    <col min="10" max="10" width="14" customWidth="1"/>
    <col min="11" max="12" width="10" customWidth="1"/>
    <col min="13" max="13" width="20" customWidth="1"/>
    <col min="14" max="14" width="24" customWidth="1"/>
    <col min="15" max="15" width="16" customWidth="1"/>
  </cols>
  <sheetData>
    <row r="1" spans="1:15" ht="18" customHeight="1" x14ac:dyDescent="0.15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</row>
    <row r="2" spans="1:15" ht="32" customHeight="1" x14ac:dyDescent="0.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 spans="1:15" ht="20" customHeight="1" x14ac:dyDescent="0.15">
      <c r="A3" s="2" t="s">
        <v>246</v>
      </c>
      <c r="B3" s="2" t="s">
        <v>137</v>
      </c>
      <c r="C3" s="2" t="s">
        <v>18</v>
      </c>
      <c r="D3" s="2" t="s">
        <v>18</v>
      </c>
      <c r="E3" s="2" t="s">
        <v>18</v>
      </c>
      <c r="F3" s="2" t="s">
        <v>18</v>
      </c>
      <c r="G3" s="2" t="s">
        <v>18</v>
      </c>
      <c r="H3" s="2" t="s">
        <v>18</v>
      </c>
      <c r="I3" s="3">
        <v>190</v>
      </c>
      <c r="J3" s="3">
        <f>SUM(H4:H18)</f>
        <v>47.053080000000001</v>
      </c>
      <c r="K3" s="11">
        <f>J3/(I3/1.18)</f>
        <v>0.29222439157894736</v>
      </c>
      <c r="L3" s="5">
        <v>68</v>
      </c>
      <c r="M3" s="3">
        <f>L3*(I3/1.18)</f>
        <v>10949.152542372884</v>
      </c>
      <c r="N3" s="3">
        <f>L3*J3</f>
        <v>3199.6094400000002</v>
      </c>
      <c r="O3" s="4">
        <f>N3/M3</f>
        <v>0.29222439157894731</v>
      </c>
    </row>
    <row r="4" spans="1:15" ht="18" customHeight="1" x14ac:dyDescent="0.15">
      <c r="A4" t="s">
        <v>18</v>
      </c>
      <c r="B4" t="s">
        <v>18</v>
      </c>
      <c r="C4" s="6" t="s">
        <v>138</v>
      </c>
      <c r="D4" s="7" t="s">
        <v>20</v>
      </c>
      <c r="E4" s="8">
        <v>4</v>
      </c>
      <c r="F4" t="s">
        <v>27</v>
      </c>
      <c r="G4" s="9">
        <v>0.59</v>
      </c>
      <c r="H4" s="10">
        <v>2.36</v>
      </c>
      <c r="I4" t="s">
        <v>18</v>
      </c>
      <c r="J4" t="s">
        <v>18</v>
      </c>
      <c r="K4" t="s">
        <v>18</v>
      </c>
      <c r="L4" t="s">
        <v>18</v>
      </c>
      <c r="M4" t="s">
        <v>18</v>
      </c>
      <c r="N4" t="s">
        <v>18</v>
      </c>
      <c r="O4" t="s">
        <v>18</v>
      </c>
    </row>
    <row r="5" spans="1:15" ht="18" customHeight="1" x14ac:dyDescent="0.15">
      <c r="A5" t="s">
        <v>18</v>
      </c>
      <c r="B5" t="s">
        <v>18</v>
      </c>
      <c r="C5" s="6" t="s">
        <v>139</v>
      </c>
      <c r="D5" s="7" t="s">
        <v>20</v>
      </c>
      <c r="E5" s="8">
        <v>1</v>
      </c>
      <c r="F5" t="s">
        <v>27</v>
      </c>
      <c r="G5" s="9">
        <v>4.6399999999999997</v>
      </c>
      <c r="H5" s="10">
        <v>4.6399999999999997</v>
      </c>
      <c r="I5" t="s">
        <v>18</v>
      </c>
      <c r="J5" t="s">
        <v>18</v>
      </c>
      <c r="K5" t="s">
        <v>18</v>
      </c>
      <c r="L5" t="s">
        <v>18</v>
      </c>
      <c r="M5" t="s">
        <v>18</v>
      </c>
      <c r="N5" t="s">
        <v>18</v>
      </c>
      <c r="O5" t="s">
        <v>18</v>
      </c>
    </row>
    <row r="6" spans="1:15" ht="18" customHeight="1" x14ac:dyDescent="0.15">
      <c r="A6" t="s">
        <v>18</v>
      </c>
      <c r="B6" t="s">
        <v>18</v>
      </c>
      <c r="C6" s="6" t="s">
        <v>38</v>
      </c>
      <c r="D6" s="7" t="s">
        <v>20</v>
      </c>
      <c r="E6" s="8">
        <v>1E-3</v>
      </c>
      <c r="F6" t="s">
        <v>21</v>
      </c>
      <c r="G6" s="9">
        <v>14.44</v>
      </c>
      <c r="H6" s="10">
        <v>1.444E-2</v>
      </c>
      <c r="I6" t="s">
        <v>18</v>
      </c>
      <c r="J6" t="s">
        <v>18</v>
      </c>
      <c r="K6" t="s">
        <v>18</v>
      </c>
      <c r="L6" t="s">
        <v>18</v>
      </c>
      <c r="M6" t="s">
        <v>18</v>
      </c>
      <c r="N6" t="s">
        <v>18</v>
      </c>
      <c r="O6" t="s">
        <v>18</v>
      </c>
    </row>
    <row r="7" spans="1:15" ht="18" customHeight="1" x14ac:dyDescent="0.15">
      <c r="A7" t="s">
        <v>18</v>
      </c>
      <c r="B7" t="s">
        <v>18</v>
      </c>
      <c r="C7" s="6" t="s">
        <v>37</v>
      </c>
      <c r="D7" s="7" t="s">
        <v>35</v>
      </c>
      <c r="E7" s="8">
        <v>0.03</v>
      </c>
      <c r="F7" t="s">
        <v>36</v>
      </c>
      <c r="G7" s="9">
        <v>10.63</v>
      </c>
      <c r="H7" s="10">
        <v>0.31890000000000002</v>
      </c>
      <c r="I7" t="s">
        <v>18</v>
      </c>
      <c r="J7" t="s">
        <v>18</v>
      </c>
      <c r="K7" t="s">
        <v>18</v>
      </c>
      <c r="L7" t="s">
        <v>18</v>
      </c>
      <c r="M7" t="s">
        <v>18</v>
      </c>
      <c r="N7" t="s">
        <v>18</v>
      </c>
      <c r="O7" t="s">
        <v>18</v>
      </c>
    </row>
    <row r="8" spans="1:15" ht="18" customHeight="1" x14ac:dyDescent="0.15">
      <c r="A8" t="s">
        <v>18</v>
      </c>
      <c r="B8" t="s">
        <v>18</v>
      </c>
      <c r="C8" s="6" t="s">
        <v>33</v>
      </c>
      <c r="D8" s="7" t="s">
        <v>20</v>
      </c>
      <c r="E8" s="8">
        <v>0.12</v>
      </c>
      <c r="F8" t="s">
        <v>21</v>
      </c>
      <c r="G8" s="9">
        <v>28</v>
      </c>
      <c r="H8" s="10">
        <v>3.36</v>
      </c>
      <c r="I8" t="s">
        <v>18</v>
      </c>
      <c r="J8" t="s">
        <v>18</v>
      </c>
      <c r="K8" t="s">
        <v>18</v>
      </c>
      <c r="L8" t="s">
        <v>18</v>
      </c>
      <c r="M8" t="s">
        <v>18</v>
      </c>
      <c r="N8" t="s">
        <v>18</v>
      </c>
      <c r="O8" t="s">
        <v>18</v>
      </c>
    </row>
    <row r="9" spans="1:15" ht="18" customHeight="1" x14ac:dyDescent="0.15">
      <c r="A9" t="s">
        <v>18</v>
      </c>
      <c r="B9" t="s">
        <v>18</v>
      </c>
      <c r="C9" s="6" t="s">
        <v>34</v>
      </c>
      <c r="D9" s="7" t="s">
        <v>35</v>
      </c>
      <c r="E9" s="8">
        <v>0.02</v>
      </c>
      <c r="F9" t="s">
        <v>36</v>
      </c>
      <c r="G9" s="9">
        <v>12.96</v>
      </c>
      <c r="H9" s="10">
        <v>0.25920000000000004</v>
      </c>
      <c r="I9" t="s">
        <v>18</v>
      </c>
      <c r="J9" t="s">
        <v>18</v>
      </c>
      <c r="K9" t="s">
        <v>18</v>
      </c>
      <c r="L9" t="s">
        <v>18</v>
      </c>
      <c r="M9" t="s">
        <v>18</v>
      </c>
      <c r="N9" t="s">
        <v>18</v>
      </c>
      <c r="O9" t="s">
        <v>18</v>
      </c>
    </row>
    <row r="10" spans="1:15" ht="18" customHeight="1" x14ac:dyDescent="0.15">
      <c r="A10" t="s">
        <v>18</v>
      </c>
      <c r="B10" t="s">
        <v>18</v>
      </c>
      <c r="C10" s="6" t="s">
        <v>79</v>
      </c>
      <c r="D10" s="7" t="s">
        <v>20</v>
      </c>
      <c r="E10" s="8">
        <v>0.09</v>
      </c>
      <c r="F10" t="s">
        <v>21</v>
      </c>
      <c r="G10" s="9">
        <v>8.1359999999999992</v>
      </c>
      <c r="H10" s="10">
        <v>0.73223999999999989</v>
      </c>
      <c r="I10" t="s">
        <v>18</v>
      </c>
      <c r="J10" t="s">
        <v>18</v>
      </c>
      <c r="K10" t="s">
        <v>18</v>
      </c>
      <c r="L10" t="s">
        <v>18</v>
      </c>
      <c r="M10" t="s">
        <v>18</v>
      </c>
      <c r="N10" t="s">
        <v>18</v>
      </c>
      <c r="O10" t="s">
        <v>18</v>
      </c>
    </row>
    <row r="11" spans="1:15" ht="18" customHeight="1" x14ac:dyDescent="0.15">
      <c r="A11" t="s">
        <v>18</v>
      </c>
      <c r="B11" t="s">
        <v>18</v>
      </c>
      <c r="C11" s="6" t="s">
        <v>80</v>
      </c>
      <c r="D11" s="7" t="s">
        <v>20</v>
      </c>
      <c r="E11" s="8">
        <v>0.09</v>
      </c>
      <c r="F11" t="s">
        <v>21</v>
      </c>
      <c r="G11" s="9">
        <v>18.8</v>
      </c>
      <c r="H11" s="10">
        <v>1.6919999999999999</v>
      </c>
      <c r="I11" t="s">
        <v>18</v>
      </c>
      <c r="J11" t="s">
        <v>18</v>
      </c>
      <c r="K11" t="s">
        <v>18</v>
      </c>
      <c r="L11" t="s">
        <v>18</v>
      </c>
      <c r="M11" t="s">
        <v>18</v>
      </c>
      <c r="N11" t="s">
        <v>18</v>
      </c>
      <c r="O11" t="s">
        <v>18</v>
      </c>
    </row>
    <row r="12" spans="1:15" ht="18" customHeight="1" x14ac:dyDescent="0.15">
      <c r="A12" t="s">
        <v>18</v>
      </c>
      <c r="B12" t="s">
        <v>18</v>
      </c>
      <c r="C12" s="6" t="s">
        <v>126</v>
      </c>
      <c r="D12" s="7" t="s">
        <v>20</v>
      </c>
      <c r="E12" s="8">
        <v>0.12</v>
      </c>
      <c r="F12" t="s">
        <v>21</v>
      </c>
      <c r="G12" s="9">
        <v>10</v>
      </c>
      <c r="H12" s="10">
        <v>1.2</v>
      </c>
      <c r="I12" t="s">
        <v>18</v>
      </c>
      <c r="J12" t="s">
        <v>18</v>
      </c>
      <c r="K12" t="s">
        <v>18</v>
      </c>
      <c r="L12" t="s">
        <v>18</v>
      </c>
      <c r="M12" t="s">
        <v>18</v>
      </c>
      <c r="N12" t="s">
        <v>18</v>
      </c>
      <c r="O12" t="s">
        <v>18</v>
      </c>
    </row>
    <row r="13" spans="1:15" ht="18" customHeight="1" x14ac:dyDescent="0.15">
      <c r="A13" t="s">
        <v>18</v>
      </c>
      <c r="B13" t="s">
        <v>18</v>
      </c>
      <c r="C13" s="6" t="s">
        <v>124</v>
      </c>
      <c r="D13" s="7" t="s">
        <v>35</v>
      </c>
      <c r="E13" s="8">
        <v>0.06</v>
      </c>
      <c r="F13" t="s">
        <v>36</v>
      </c>
      <c r="G13" s="9">
        <v>8.3000000000000007</v>
      </c>
      <c r="H13" s="10">
        <v>0.498</v>
      </c>
      <c r="I13" t="s">
        <v>18</v>
      </c>
      <c r="J13" t="s">
        <v>18</v>
      </c>
      <c r="K13" t="s">
        <v>18</v>
      </c>
      <c r="L13" t="s">
        <v>18</v>
      </c>
      <c r="M13" t="s">
        <v>18</v>
      </c>
      <c r="N13" t="s">
        <v>18</v>
      </c>
      <c r="O13" t="s">
        <v>18</v>
      </c>
    </row>
    <row r="14" spans="1:15" ht="18" customHeight="1" x14ac:dyDescent="0.15">
      <c r="A14" t="s">
        <v>18</v>
      </c>
      <c r="B14" t="s">
        <v>18</v>
      </c>
      <c r="C14" s="6" t="s">
        <v>123</v>
      </c>
      <c r="D14" s="7" t="s">
        <v>35</v>
      </c>
      <c r="E14" s="8">
        <v>0.09</v>
      </c>
      <c r="F14" t="s">
        <v>36</v>
      </c>
      <c r="G14" s="9">
        <v>12.05</v>
      </c>
      <c r="H14" s="10">
        <v>1.0845</v>
      </c>
      <c r="I14" t="s">
        <v>18</v>
      </c>
      <c r="J14" t="s">
        <v>18</v>
      </c>
      <c r="K14" t="s">
        <v>18</v>
      </c>
      <c r="L14" t="s">
        <v>18</v>
      </c>
      <c r="M14" t="s">
        <v>18</v>
      </c>
      <c r="N14" t="s">
        <v>18</v>
      </c>
      <c r="O14" t="s">
        <v>18</v>
      </c>
    </row>
    <row r="15" spans="1:15" ht="18" customHeight="1" x14ac:dyDescent="0.15">
      <c r="A15" t="s">
        <v>18</v>
      </c>
      <c r="B15" t="s">
        <v>18</v>
      </c>
      <c r="C15" s="6" t="s">
        <v>122</v>
      </c>
      <c r="D15" s="7" t="s">
        <v>35</v>
      </c>
      <c r="E15" s="8">
        <v>0.45</v>
      </c>
      <c r="F15" t="s">
        <v>36</v>
      </c>
      <c r="G15" s="9">
        <v>40.46</v>
      </c>
      <c r="H15" s="10">
        <f>G15*E15</f>
        <v>18.207000000000001</v>
      </c>
      <c r="I15" t="s">
        <v>18</v>
      </c>
      <c r="J15" t="s">
        <v>18</v>
      </c>
      <c r="K15" t="s">
        <v>18</v>
      </c>
      <c r="L15" t="s">
        <v>18</v>
      </c>
      <c r="M15" t="s">
        <v>18</v>
      </c>
      <c r="N15" t="s">
        <v>18</v>
      </c>
      <c r="O15" t="s">
        <v>18</v>
      </c>
    </row>
    <row r="16" spans="1:15" ht="18" customHeight="1" x14ac:dyDescent="0.15">
      <c r="A16" t="s">
        <v>18</v>
      </c>
      <c r="B16" t="s">
        <v>18</v>
      </c>
      <c r="C16" s="6" t="s">
        <v>26</v>
      </c>
      <c r="D16" s="7" t="s">
        <v>20</v>
      </c>
      <c r="E16" s="8">
        <v>3</v>
      </c>
      <c r="F16" t="s">
        <v>27</v>
      </c>
      <c r="G16" s="9">
        <v>2.35</v>
      </c>
      <c r="H16" s="10">
        <v>7.0500000000000007</v>
      </c>
      <c r="I16" t="s">
        <v>18</v>
      </c>
      <c r="J16" t="s">
        <v>18</v>
      </c>
      <c r="K16" t="s">
        <v>18</v>
      </c>
      <c r="L16" t="s">
        <v>18</v>
      </c>
      <c r="M16" t="s">
        <v>18</v>
      </c>
      <c r="N16" t="s">
        <v>18</v>
      </c>
      <c r="O16" t="s">
        <v>18</v>
      </c>
    </row>
    <row r="17" spans="1:15" ht="18" customHeight="1" x14ac:dyDescent="0.15">
      <c r="A17" t="s">
        <v>18</v>
      </c>
      <c r="B17" t="s">
        <v>18</v>
      </c>
      <c r="C17" s="6" t="s">
        <v>59</v>
      </c>
      <c r="D17" s="7" t="s">
        <v>20</v>
      </c>
      <c r="E17" s="8">
        <v>0.23</v>
      </c>
      <c r="F17" t="s">
        <v>21</v>
      </c>
      <c r="G17" s="9">
        <v>13.16</v>
      </c>
      <c r="H17" s="10">
        <v>3.0268000000000002</v>
      </c>
      <c r="I17" t="s">
        <v>18</v>
      </c>
      <c r="J17" t="s">
        <v>18</v>
      </c>
      <c r="K17" t="s">
        <v>18</v>
      </c>
      <c r="L17" t="s">
        <v>18</v>
      </c>
      <c r="M17" t="s">
        <v>18</v>
      </c>
      <c r="N17" t="s">
        <v>18</v>
      </c>
      <c r="O17" t="s">
        <v>18</v>
      </c>
    </row>
    <row r="18" spans="1:15" ht="18" customHeight="1" x14ac:dyDescent="0.15">
      <c r="A18" t="s">
        <v>18</v>
      </c>
      <c r="B18" t="s">
        <v>18</v>
      </c>
      <c r="C18" s="6" t="s">
        <v>140</v>
      </c>
      <c r="D18" s="7" t="s">
        <v>20</v>
      </c>
      <c r="E18" s="8">
        <v>0.09</v>
      </c>
      <c r="F18" t="s">
        <v>21</v>
      </c>
      <c r="G18" s="9">
        <v>29</v>
      </c>
      <c r="H18" s="10">
        <v>2.61</v>
      </c>
      <c r="I18" t="s">
        <v>18</v>
      </c>
      <c r="J18" t="s">
        <v>18</v>
      </c>
      <c r="K18" t="s">
        <v>18</v>
      </c>
      <c r="L18" t="s">
        <v>18</v>
      </c>
      <c r="M18" t="s">
        <v>18</v>
      </c>
      <c r="N18" t="s">
        <v>18</v>
      </c>
      <c r="O18" t="s">
        <v>18</v>
      </c>
    </row>
  </sheetData>
  <mergeCells count="1">
    <mergeCell ref="A1:O1"/>
  </mergeCells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60"/>
  <sheetViews>
    <sheetView topLeftCell="C1" workbookViewId="0">
      <pane ySplit="2" topLeftCell="A32" activePane="bottomLeft" state="frozen"/>
      <selection pane="bottomLeft" activeCell="K48" sqref="K48"/>
    </sheetView>
    <sheetView topLeftCell="A29" workbookViewId="1">
      <selection activeCell="M55" sqref="M3:M55"/>
    </sheetView>
  </sheetViews>
  <sheetFormatPr baseColWidth="10" defaultColWidth="8.83203125" defaultRowHeight="14" x14ac:dyDescent="0.15"/>
  <cols>
    <col min="1" max="1" width="28" customWidth="1"/>
    <col min="2" max="2" width="16" customWidth="1"/>
    <col min="3" max="3" width="28" customWidth="1"/>
    <col min="4" max="4" width="12" customWidth="1"/>
    <col min="5" max="6" width="8" customWidth="1"/>
    <col min="7" max="7" width="14" customWidth="1"/>
    <col min="8" max="9" width="18" customWidth="1"/>
    <col min="10" max="10" width="14" customWidth="1"/>
    <col min="11" max="12" width="10" customWidth="1"/>
    <col min="13" max="13" width="20" customWidth="1"/>
    <col min="14" max="14" width="24" customWidth="1"/>
    <col min="15" max="15" width="16" customWidth="1"/>
  </cols>
  <sheetData>
    <row r="1" spans="1:15" ht="18" customHeight="1" x14ac:dyDescent="0.15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</row>
    <row r="2" spans="1:15" ht="32" customHeight="1" x14ac:dyDescent="0.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 spans="1:15" ht="20" customHeight="1" x14ac:dyDescent="0.15">
      <c r="A3" s="2" t="s">
        <v>247</v>
      </c>
      <c r="B3" s="2" t="s">
        <v>141</v>
      </c>
      <c r="C3" s="2" t="s">
        <v>18</v>
      </c>
      <c r="D3" s="2" t="s">
        <v>18</v>
      </c>
      <c r="E3" s="2" t="s">
        <v>18</v>
      </c>
      <c r="F3" s="2" t="s">
        <v>18</v>
      </c>
      <c r="G3" s="2" t="s">
        <v>18</v>
      </c>
      <c r="H3" s="2" t="s">
        <v>18</v>
      </c>
      <c r="I3" s="3">
        <v>47</v>
      </c>
      <c r="J3" s="3">
        <f>SUM(H4:H11)</f>
        <v>13.4087</v>
      </c>
      <c r="K3" s="4">
        <f>J3/(I3/1.18)</f>
        <v>0.33664395744680853</v>
      </c>
      <c r="L3" s="5">
        <v>1116</v>
      </c>
      <c r="M3" s="3">
        <f>L3*(I3/1.18)</f>
        <v>44450.847457627118</v>
      </c>
      <c r="N3" s="3">
        <f>L3*J3</f>
        <v>14964.109199999999</v>
      </c>
      <c r="O3" s="4">
        <f>N3/M3</f>
        <v>0.33664395744680847</v>
      </c>
    </row>
    <row r="4" spans="1:15" ht="18" customHeight="1" x14ac:dyDescent="0.15">
      <c r="A4" t="s">
        <v>18</v>
      </c>
      <c r="B4" t="s">
        <v>18</v>
      </c>
      <c r="C4" s="6" t="s">
        <v>26</v>
      </c>
      <c r="D4" s="7" t="s">
        <v>20</v>
      </c>
      <c r="E4" s="8">
        <v>1</v>
      </c>
      <c r="F4" t="s">
        <v>27</v>
      </c>
      <c r="G4" s="9">
        <v>2.35</v>
      </c>
      <c r="H4" s="10">
        <v>2.35</v>
      </c>
      <c r="I4" t="s">
        <v>18</v>
      </c>
      <c r="J4" t="s">
        <v>18</v>
      </c>
      <c r="K4" t="s">
        <v>18</v>
      </c>
      <c r="L4" t="s">
        <v>18</v>
      </c>
      <c r="M4" t="s">
        <v>18</v>
      </c>
      <c r="N4" t="s">
        <v>18</v>
      </c>
      <c r="O4" t="s">
        <v>18</v>
      </c>
    </row>
    <row r="5" spans="1:15" ht="18" customHeight="1" x14ac:dyDescent="0.15">
      <c r="A5" t="s">
        <v>18</v>
      </c>
      <c r="B5" t="s">
        <v>18</v>
      </c>
      <c r="C5" s="6" t="s">
        <v>123</v>
      </c>
      <c r="D5" s="7" t="s">
        <v>35</v>
      </c>
      <c r="E5" s="8">
        <v>0.03</v>
      </c>
      <c r="F5" t="s">
        <v>36</v>
      </c>
      <c r="G5" s="9">
        <v>12.05</v>
      </c>
      <c r="H5" s="10">
        <v>0.36149999999999999</v>
      </c>
      <c r="I5" t="s">
        <v>18</v>
      </c>
      <c r="J5" t="s">
        <v>18</v>
      </c>
      <c r="K5" t="s">
        <v>18</v>
      </c>
      <c r="L5" t="s">
        <v>18</v>
      </c>
      <c r="M5" t="s">
        <v>18</v>
      </c>
      <c r="N5" t="s">
        <v>18</v>
      </c>
      <c r="O5" t="s">
        <v>18</v>
      </c>
    </row>
    <row r="6" spans="1:15" ht="18" customHeight="1" x14ac:dyDescent="0.15">
      <c r="A6" t="s">
        <v>18</v>
      </c>
      <c r="B6" t="s">
        <v>18</v>
      </c>
      <c r="C6" s="6" t="s">
        <v>142</v>
      </c>
      <c r="D6" s="7" t="s">
        <v>20</v>
      </c>
      <c r="E6" s="8">
        <v>0.03</v>
      </c>
      <c r="F6" t="s">
        <v>21</v>
      </c>
      <c r="G6" s="9">
        <v>14</v>
      </c>
      <c r="H6" s="10">
        <f>G6*E6</f>
        <v>0.42</v>
      </c>
      <c r="I6" t="s">
        <v>18</v>
      </c>
      <c r="J6" t="s">
        <v>18</v>
      </c>
      <c r="K6" t="s">
        <v>18</v>
      </c>
      <c r="L6" t="s">
        <v>18</v>
      </c>
      <c r="M6" t="s">
        <v>18</v>
      </c>
      <c r="N6" t="s">
        <v>18</v>
      </c>
      <c r="O6" t="s">
        <v>18</v>
      </c>
    </row>
    <row r="7" spans="1:15" ht="18" customHeight="1" x14ac:dyDescent="0.15">
      <c r="A7" t="s">
        <v>18</v>
      </c>
      <c r="B7" t="s">
        <v>18</v>
      </c>
      <c r="C7" s="6" t="s">
        <v>126</v>
      </c>
      <c r="D7" s="7" t="s">
        <v>20</v>
      </c>
      <c r="E7" s="8">
        <v>0.04</v>
      </c>
      <c r="F7" t="s">
        <v>21</v>
      </c>
      <c r="G7" s="9">
        <v>10</v>
      </c>
      <c r="H7" s="10">
        <v>0.4</v>
      </c>
      <c r="I7" t="s">
        <v>18</v>
      </c>
      <c r="J7" t="s">
        <v>18</v>
      </c>
      <c r="K7" t="s">
        <v>18</v>
      </c>
      <c r="L7" t="s">
        <v>18</v>
      </c>
      <c r="M7" t="s">
        <v>18</v>
      </c>
      <c r="N7" t="s">
        <v>18</v>
      </c>
      <c r="O7" t="s">
        <v>18</v>
      </c>
    </row>
    <row r="8" spans="1:15" ht="18" customHeight="1" x14ac:dyDescent="0.15">
      <c r="A8" t="s">
        <v>18</v>
      </c>
      <c r="B8" t="s">
        <v>18</v>
      </c>
      <c r="C8" s="6" t="s">
        <v>143</v>
      </c>
      <c r="D8" s="7" t="s">
        <v>20</v>
      </c>
      <c r="E8" s="8">
        <v>0.02</v>
      </c>
      <c r="F8" t="s">
        <v>21</v>
      </c>
      <c r="G8" s="9">
        <v>5.5</v>
      </c>
      <c r="H8" s="10">
        <v>0.11</v>
      </c>
      <c r="I8" t="s">
        <v>18</v>
      </c>
      <c r="J8" t="s">
        <v>18</v>
      </c>
      <c r="K8" t="s">
        <v>18</v>
      </c>
      <c r="L8" t="s">
        <v>18</v>
      </c>
      <c r="M8" t="s">
        <v>18</v>
      </c>
      <c r="N8" t="s">
        <v>18</v>
      </c>
      <c r="O8" t="s">
        <v>18</v>
      </c>
    </row>
    <row r="9" spans="1:15" ht="18" customHeight="1" x14ac:dyDescent="0.15">
      <c r="A9" t="s">
        <v>18</v>
      </c>
      <c r="B9" t="s">
        <v>18</v>
      </c>
      <c r="C9" s="6" t="s">
        <v>124</v>
      </c>
      <c r="D9" s="7" t="s">
        <v>35</v>
      </c>
      <c r="E9" s="8">
        <v>0.02</v>
      </c>
      <c r="F9" t="s">
        <v>36</v>
      </c>
      <c r="G9" s="9">
        <v>8.3000000000000007</v>
      </c>
      <c r="H9" s="10">
        <v>0.16600000000000001</v>
      </c>
      <c r="I9" t="s">
        <v>18</v>
      </c>
      <c r="J9" t="s">
        <v>18</v>
      </c>
      <c r="K9" t="s">
        <v>18</v>
      </c>
      <c r="L9" t="s">
        <v>18</v>
      </c>
      <c r="M9" t="s">
        <v>18</v>
      </c>
      <c r="N9" t="s">
        <v>18</v>
      </c>
      <c r="O9" t="s">
        <v>18</v>
      </c>
    </row>
    <row r="10" spans="1:15" ht="18" customHeight="1" x14ac:dyDescent="0.15">
      <c r="A10" t="s">
        <v>18</v>
      </c>
      <c r="B10" t="s">
        <v>18</v>
      </c>
      <c r="C10" s="6" t="s">
        <v>122</v>
      </c>
      <c r="D10" s="7" t="s">
        <v>35</v>
      </c>
      <c r="E10" s="8">
        <v>0.22</v>
      </c>
      <c r="F10" t="s">
        <v>36</v>
      </c>
      <c r="G10" s="9">
        <v>40.46</v>
      </c>
      <c r="H10" s="10">
        <f>G10*E10</f>
        <v>8.9012000000000011</v>
      </c>
      <c r="I10" t="s">
        <v>18</v>
      </c>
      <c r="J10" t="s">
        <v>18</v>
      </c>
      <c r="K10" t="s">
        <v>18</v>
      </c>
      <c r="L10" t="s">
        <v>18</v>
      </c>
      <c r="M10" t="s">
        <v>18</v>
      </c>
      <c r="N10" t="s">
        <v>18</v>
      </c>
      <c r="O10" t="s">
        <v>18</v>
      </c>
    </row>
    <row r="11" spans="1:15" ht="18" customHeight="1" x14ac:dyDescent="0.15">
      <c r="A11" t="s">
        <v>18</v>
      </c>
      <c r="B11" t="s">
        <v>18</v>
      </c>
      <c r="C11" s="6" t="s">
        <v>30</v>
      </c>
      <c r="D11" s="7" t="s">
        <v>31</v>
      </c>
      <c r="E11" s="8">
        <v>1</v>
      </c>
      <c r="F11" t="s">
        <v>32</v>
      </c>
      <c r="G11" s="9">
        <v>0.7</v>
      </c>
      <c r="H11" s="10">
        <v>0.7</v>
      </c>
      <c r="I11" t="s">
        <v>18</v>
      </c>
      <c r="J11" t="s">
        <v>18</v>
      </c>
      <c r="K11" t="s">
        <v>18</v>
      </c>
      <c r="L11" t="s">
        <v>18</v>
      </c>
      <c r="M11" t="s">
        <v>18</v>
      </c>
      <c r="N11" t="s">
        <v>18</v>
      </c>
      <c r="O11" t="s">
        <v>18</v>
      </c>
    </row>
    <row r="13" spans="1:15" ht="20" customHeight="1" x14ac:dyDescent="0.15">
      <c r="A13" s="2" t="s">
        <v>248</v>
      </c>
      <c r="B13" s="2" t="s">
        <v>141</v>
      </c>
      <c r="C13" s="2" t="s">
        <v>18</v>
      </c>
      <c r="D13" s="2" t="s">
        <v>18</v>
      </c>
      <c r="E13" s="2" t="s">
        <v>18</v>
      </c>
      <c r="F13" s="2" t="s">
        <v>18</v>
      </c>
      <c r="G13" s="2" t="s">
        <v>18</v>
      </c>
      <c r="H13" s="2" t="s">
        <v>18</v>
      </c>
      <c r="I13" s="3">
        <v>39</v>
      </c>
      <c r="J13" s="3">
        <f>SUM(H14:H21)</f>
        <v>10.519499999999999</v>
      </c>
      <c r="K13" s="4">
        <f>J13/(I13/1.18)</f>
        <v>0.31828230769230764</v>
      </c>
      <c r="L13" s="5">
        <v>2206</v>
      </c>
      <c r="M13" s="3">
        <f>L13*(I13/1.18)</f>
        <v>72910.169491525434</v>
      </c>
      <c r="N13" s="3">
        <f>L13*J13</f>
        <v>23206.016999999996</v>
      </c>
      <c r="O13" s="4">
        <f>N13/M13</f>
        <v>0.31828230769230759</v>
      </c>
    </row>
    <row r="14" spans="1:15" ht="18" customHeight="1" x14ac:dyDescent="0.15">
      <c r="A14" t="s">
        <v>18</v>
      </c>
      <c r="B14" t="s">
        <v>18</v>
      </c>
      <c r="C14" s="6" t="s">
        <v>26</v>
      </c>
      <c r="D14" s="7" t="s">
        <v>20</v>
      </c>
      <c r="E14" s="8">
        <v>1</v>
      </c>
      <c r="F14" t="s">
        <v>27</v>
      </c>
      <c r="G14" s="9">
        <v>2.35</v>
      </c>
      <c r="H14" s="10">
        <v>2.35</v>
      </c>
      <c r="I14" t="s">
        <v>18</v>
      </c>
      <c r="J14" t="s">
        <v>18</v>
      </c>
      <c r="K14" t="s">
        <v>18</v>
      </c>
      <c r="L14" t="s">
        <v>18</v>
      </c>
      <c r="M14" t="s">
        <v>18</v>
      </c>
      <c r="N14" t="s">
        <v>18</v>
      </c>
      <c r="O14" t="s">
        <v>18</v>
      </c>
    </row>
    <row r="15" spans="1:15" ht="18" customHeight="1" x14ac:dyDescent="0.15">
      <c r="A15" t="s">
        <v>18</v>
      </c>
      <c r="B15" t="s">
        <v>18</v>
      </c>
      <c r="C15" s="6" t="s">
        <v>123</v>
      </c>
      <c r="D15" s="7" t="s">
        <v>35</v>
      </c>
      <c r="E15" s="8">
        <v>0.03</v>
      </c>
      <c r="F15" t="s">
        <v>36</v>
      </c>
      <c r="G15" s="9">
        <v>12.05</v>
      </c>
      <c r="H15" s="10">
        <v>0.36149999999999999</v>
      </c>
      <c r="I15" t="s">
        <v>18</v>
      </c>
      <c r="J15" t="s">
        <v>18</v>
      </c>
      <c r="K15" t="s">
        <v>18</v>
      </c>
      <c r="L15" t="s">
        <v>18</v>
      </c>
      <c r="M15" t="s">
        <v>18</v>
      </c>
      <c r="N15" t="s">
        <v>18</v>
      </c>
      <c r="O15" t="s">
        <v>18</v>
      </c>
    </row>
    <row r="16" spans="1:15" ht="18" customHeight="1" x14ac:dyDescent="0.15">
      <c r="A16" t="s">
        <v>18</v>
      </c>
      <c r="B16" t="s">
        <v>18</v>
      </c>
      <c r="C16" s="6" t="s">
        <v>142</v>
      </c>
      <c r="D16" s="7" t="s">
        <v>20</v>
      </c>
      <c r="E16" s="8">
        <v>0.02</v>
      </c>
      <c r="F16" t="s">
        <v>21</v>
      </c>
      <c r="G16" s="9">
        <v>14</v>
      </c>
      <c r="H16" s="10">
        <f>G16*E16</f>
        <v>0.28000000000000003</v>
      </c>
      <c r="I16" t="s">
        <v>18</v>
      </c>
      <c r="J16" t="s">
        <v>18</v>
      </c>
      <c r="K16" t="s">
        <v>18</v>
      </c>
      <c r="L16" t="s">
        <v>18</v>
      </c>
      <c r="M16" t="s">
        <v>18</v>
      </c>
      <c r="N16" t="s">
        <v>18</v>
      </c>
      <c r="O16" t="s">
        <v>18</v>
      </c>
    </row>
    <row r="17" spans="1:15" ht="18" customHeight="1" x14ac:dyDescent="0.15">
      <c r="A17" t="s">
        <v>18</v>
      </c>
      <c r="B17" t="s">
        <v>18</v>
      </c>
      <c r="C17" s="6" t="s">
        <v>126</v>
      </c>
      <c r="D17" s="7" t="s">
        <v>20</v>
      </c>
      <c r="E17" s="8">
        <v>0.04</v>
      </c>
      <c r="F17" t="s">
        <v>21</v>
      </c>
      <c r="G17" s="9">
        <v>10</v>
      </c>
      <c r="H17" s="10">
        <v>0.4</v>
      </c>
      <c r="I17" t="s">
        <v>18</v>
      </c>
      <c r="J17" t="s">
        <v>18</v>
      </c>
      <c r="K17" t="s">
        <v>18</v>
      </c>
      <c r="L17" t="s">
        <v>18</v>
      </c>
      <c r="M17" t="s">
        <v>18</v>
      </c>
      <c r="N17" t="s">
        <v>18</v>
      </c>
      <c r="O17" t="s">
        <v>18</v>
      </c>
    </row>
    <row r="18" spans="1:15" ht="18" customHeight="1" x14ac:dyDescent="0.15">
      <c r="A18" t="s">
        <v>18</v>
      </c>
      <c r="B18" t="s">
        <v>18</v>
      </c>
      <c r="C18" s="6" t="s">
        <v>143</v>
      </c>
      <c r="D18" s="7" t="s">
        <v>20</v>
      </c>
      <c r="E18" s="8">
        <v>0.02</v>
      </c>
      <c r="F18" t="s">
        <v>21</v>
      </c>
      <c r="G18" s="9">
        <v>5.5</v>
      </c>
      <c r="H18" s="10">
        <v>0.11</v>
      </c>
      <c r="I18" t="s">
        <v>18</v>
      </c>
      <c r="J18" t="s">
        <v>18</v>
      </c>
      <c r="K18" t="s">
        <v>18</v>
      </c>
      <c r="L18" t="s">
        <v>18</v>
      </c>
      <c r="M18" t="s">
        <v>18</v>
      </c>
      <c r="N18" t="s">
        <v>18</v>
      </c>
      <c r="O18" t="s">
        <v>18</v>
      </c>
    </row>
    <row r="19" spans="1:15" ht="18" customHeight="1" x14ac:dyDescent="0.15">
      <c r="A19" t="s">
        <v>18</v>
      </c>
      <c r="B19" t="s">
        <v>18</v>
      </c>
      <c r="C19" s="6" t="s">
        <v>124</v>
      </c>
      <c r="D19" s="7" t="s">
        <v>35</v>
      </c>
      <c r="E19" s="8">
        <v>0.03</v>
      </c>
      <c r="F19" t="s">
        <v>36</v>
      </c>
      <c r="G19" s="9">
        <v>8.3000000000000007</v>
      </c>
      <c r="H19" s="10">
        <v>0.249</v>
      </c>
      <c r="I19" t="s">
        <v>18</v>
      </c>
      <c r="J19" t="s">
        <v>18</v>
      </c>
      <c r="K19" t="s">
        <v>18</v>
      </c>
      <c r="L19" t="s">
        <v>18</v>
      </c>
      <c r="M19" t="s">
        <v>18</v>
      </c>
      <c r="N19" t="s">
        <v>18</v>
      </c>
      <c r="O19" t="s">
        <v>18</v>
      </c>
    </row>
    <row r="20" spans="1:15" ht="18" customHeight="1" x14ac:dyDescent="0.15">
      <c r="A20" t="s">
        <v>18</v>
      </c>
      <c r="B20" t="s">
        <v>18</v>
      </c>
      <c r="C20" s="6" t="s">
        <v>122</v>
      </c>
      <c r="D20" s="7" t="s">
        <v>35</v>
      </c>
      <c r="E20" s="8">
        <v>0.15</v>
      </c>
      <c r="F20" t="s">
        <v>36</v>
      </c>
      <c r="G20" s="9">
        <v>40.46</v>
      </c>
      <c r="H20" s="10">
        <f>G20*E20</f>
        <v>6.069</v>
      </c>
      <c r="I20" t="s">
        <v>18</v>
      </c>
      <c r="J20" t="s">
        <v>18</v>
      </c>
      <c r="K20" t="s">
        <v>18</v>
      </c>
      <c r="L20" t="s">
        <v>18</v>
      </c>
      <c r="M20" t="s">
        <v>18</v>
      </c>
      <c r="N20" t="s">
        <v>18</v>
      </c>
      <c r="O20" t="s">
        <v>18</v>
      </c>
    </row>
    <row r="21" spans="1:15" ht="18" customHeight="1" x14ac:dyDescent="0.15">
      <c r="A21" t="s">
        <v>18</v>
      </c>
      <c r="B21" t="s">
        <v>18</v>
      </c>
      <c r="C21" s="6" t="s">
        <v>30</v>
      </c>
      <c r="D21" s="7" t="s">
        <v>31</v>
      </c>
      <c r="E21" s="8">
        <v>1</v>
      </c>
      <c r="F21" t="s">
        <v>32</v>
      </c>
      <c r="G21" s="9">
        <v>0.7</v>
      </c>
      <c r="H21" s="10">
        <v>0.7</v>
      </c>
      <c r="I21" t="s">
        <v>18</v>
      </c>
      <c r="J21" t="s">
        <v>18</v>
      </c>
      <c r="K21" t="s">
        <v>18</v>
      </c>
      <c r="L21" t="s">
        <v>18</v>
      </c>
      <c r="M21" t="s">
        <v>18</v>
      </c>
      <c r="N21" t="s">
        <v>18</v>
      </c>
      <c r="O21" t="s">
        <v>18</v>
      </c>
    </row>
    <row r="23" spans="1:15" ht="20" customHeight="1" x14ac:dyDescent="0.15">
      <c r="A23" s="2" t="s">
        <v>249</v>
      </c>
      <c r="B23" s="2" t="s">
        <v>141</v>
      </c>
      <c r="C23" s="2" t="s">
        <v>18</v>
      </c>
      <c r="D23" s="2" t="s">
        <v>18</v>
      </c>
      <c r="E23" s="2" t="s">
        <v>18</v>
      </c>
      <c r="F23" s="2" t="s">
        <v>18</v>
      </c>
      <c r="G23" s="2" t="s">
        <v>18</v>
      </c>
      <c r="H23" s="2" t="s">
        <v>18</v>
      </c>
      <c r="I23" s="3">
        <v>35</v>
      </c>
      <c r="J23" s="3">
        <f>SUM(H24:H31)</f>
        <v>8.3475999999999999</v>
      </c>
      <c r="K23" s="4">
        <f>J23/(I23/1.18)</f>
        <v>0.28143337142857144</v>
      </c>
      <c r="L23" s="5">
        <v>474</v>
      </c>
      <c r="M23" s="3">
        <f>L23*(I23/1.18)</f>
        <v>14059.322033898305</v>
      </c>
      <c r="N23" s="3">
        <f>L23*J23</f>
        <v>3956.7624000000001</v>
      </c>
      <c r="O23" s="4">
        <f>N23/M23</f>
        <v>0.28143337142857144</v>
      </c>
    </row>
    <row r="24" spans="1:15" ht="18" customHeight="1" x14ac:dyDescent="0.15">
      <c r="A24" t="s">
        <v>18</v>
      </c>
      <c r="B24" t="s">
        <v>18</v>
      </c>
      <c r="C24" s="6" t="s">
        <v>127</v>
      </c>
      <c r="D24" s="7" t="s">
        <v>20</v>
      </c>
      <c r="E24" s="8">
        <v>1</v>
      </c>
      <c r="F24" t="s">
        <v>27</v>
      </c>
      <c r="G24" s="9">
        <v>2</v>
      </c>
      <c r="H24" s="10">
        <v>2</v>
      </c>
      <c r="I24" t="s">
        <v>18</v>
      </c>
      <c r="J24" t="s">
        <v>18</v>
      </c>
      <c r="K24" t="s">
        <v>18</v>
      </c>
      <c r="L24" t="s">
        <v>18</v>
      </c>
      <c r="M24" t="s">
        <v>18</v>
      </c>
      <c r="N24" t="s">
        <v>18</v>
      </c>
      <c r="O24" t="s">
        <v>18</v>
      </c>
    </row>
    <row r="25" spans="1:15" ht="18" customHeight="1" x14ac:dyDescent="0.15">
      <c r="A25" t="s">
        <v>18</v>
      </c>
      <c r="B25" t="s">
        <v>18</v>
      </c>
      <c r="C25" s="6" t="s">
        <v>123</v>
      </c>
      <c r="D25" s="7" t="s">
        <v>35</v>
      </c>
      <c r="E25" s="8">
        <v>0.02</v>
      </c>
      <c r="F25" t="s">
        <v>36</v>
      </c>
      <c r="G25" s="9">
        <v>12.05</v>
      </c>
      <c r="H25" s="10">
        <v>0.24100000000000002</v>
      </c>
      <c r="I25" t="s">
        <v>18</v>
      </c>
      <c r="J25" t="s">
        <v>18</v>
      </c>
      <c r="K25" t="s">
        <v>18</v>
      </c>
      <c r="L25" t="s">
        <v>18</v>
      </c>
      <c r="M25" t="s">
        <v>18</v>
      </c>
      <c r="N25" t="s">
        <v>18</v>
      </c>
      <c r="O25" t="s">
        <v>18</v>
      </c>
    </row>
    <row r="26" spans="1:15" ht="18" customHeight="1" x14ac:dyDescent="0.15">
      <c r="A26" t="s">
        <v>18</v>
      </c>
      <c r="B26" t="s">
        <v>18</v>
      </c>
      <c r="C26" s="6" t="s">
        <v>142</v>
      </c>
      <c r="D26" s="7" t="s">
        <v>20</v>
      </c>
      <c r="E26" s="8">
        <v>0.02</v>
      </c>
      <c r="F26" t="s">
        <v>21</v>
      </c>
      <c r="G26" s="9">
        <v>14</v>
      </c>
      <c r="H26" s="10">
        <f>G26*E26</f>
        <v>0.28000000000000003</v>
      </c>
      <c r="I26" t="s">
        <v>18</v>
      </c>
      <c r="J26" t="s">
        <v>18</v>
      </c>
      <c r="K26" t="s">
        <v>18</v>
      </c>
      <c r="L26" t="s">
        <v>18</v>
      </c>
      <c r="M26" t="s">
        <v>18</v>
      </c>
      <c r="N26" t="s">
        <v>18</v>
      </c>
      <c r="O26" t="s">
        <v>18</v>
      </c>
    </row>
    <row r="27" spans="1:15" ht="18" customHeight="1" x14ac:dyDescent="0.15">
      <c r="A27" t="s">
        <v>18</v>
      </c>
      <c r="B27" t="s">
        <v>18</v>
      </c>
      <c r="C27" s="6" t="s">
        <v>126</v>
      </c>
      <c r="D27" s="7" t="s">
        <v>20</v>
      </c>
      <c r="E27" s="8">
        <v>0.04</v>
      </c>
      <c r="F27" t="s">
        <v>21</v>
      </c>
      <c r="G27" s="9">
        <v>10</v>
      </c>
      <c r="H27" s="10">
        <v>0.4</v>
      </c>
      <c r="I27" t="s">
        <v>18</v>
      </c>
      <c r="J27" t="s">
        <v>18</v>
      </c>
      <c r="K27" t="s">
        <v>18</v>
      </c>
      <c r="L27" t="s">
        <v>18</v>
      </c>
      <c r="M27" t="s">
        <v>18</v>
      </c>
      <c r="N27" t="s">
        <v>18</v>
      </c>
      <c r="O27" t="s">
        <v>18</v>
      </c>
    </row>
    <row r="28" spans="1:15" ht="18" customHeight="1" x14ac:dyDescent="0.15">
      <c r="A28" t="s">
        <v>18</v>
      </c>
      <c r="B28" t="s">
        <v>18</v>
      </c>
      <c r="C28" s="6" t="s">
        <v>143</v>
      </c>
      <c r="D28" s="7" t="s">
        <v>20</v>
      </c>
      <c r="E28" s="8">
        <v>0.02</v>
      </c>
      <c r="F28" t="s">
        <v>21</v>
      </c>
      <c r="G28" s="9">
        <v>5.5</v>
      </c>
      <c r="H28" s="10">
        <v>0.11</v>
      </c>
      <c r="I28" t="s">
        <v>18</v>
      </c>
      <c r="J28" t="s">
        <v>18</v>
      </c>
      <c r="K28" t="s">
        <v>18</v>
      </c>
      <c r="L28" t="s">
        <v>18</v>
      </c>
      <c r="M28" t="s">
        <v>18</v>
      </c>
      <c r="N28" t="s">
        <v>18</v>
      </c>
      <c r="O28" t="s">
        <v>18</v>
      </c>
    </row>
    <row r="29" spans="1:15" ht="18" customHeight="1" x14ac:dyDescent="0.15">
      <c r="A29" t="s">
        <v>18</v>
      </c>
      <c r="B29" t="s">
        <v>18</v>
      </c>
      <c r="C29" s="6" t="s">
        <v>124</v>
      </c>
      <c r="D29" s="7" t="s">
        <v>35</v>
      </c>
      <c r="E29" s="8">
        <v>0.02</v>
      </c>
      <c r="F29" t="s">
        <v>36</v>
      </c>
      <c r="G29" s="9">
        <v>8.3000000000000007</v>
      </c>
      <c r="H29" s="10">
        <v>0.16600000000000001</v>
      </c>
      <c r="I29" t="s">
        <v>18</v>
      </c>
      <c r="J29" t="s">
        <v>18</v>
      </c>
      <c r="K29" t="s">
        <v>18</v>
      </c>
      <c r="L29" t="s">
        <v>18</v>
      </c>
      <c r="M29" t="s">
        <v>18</v>
      </c>
      <c r="N29" t="s">
        <v>18</v>
      </c>
      <c r="O29" t="s">
        <v>18</v>
      </c>
    </row>
    <row r="30" spans="1:15" ht="18" customHeight="1" x14ac:dyDescent="0.15">
      <c r="A30" t="s">
        <v>18</v>
      </c>
      <c r="B30" t="s">
        <v>18</v>
      </c>
      <c r="C30" s="6" t="s">
        <v>122</v>
      </c>
      <c r="D30" s="7" t="s">
        <v>35</v>
      </c>
      <c r="E30" s="8">
        <v>0.11</v>
      </c>
      <c r="F30" t="s">
        <v>36</v>
      </c>
      <c r="G30" s="9">
        <v>40.46</v>
      </c>
      <c r="H30" s="10">
        <f>G30*E30</f>
        <v>4.4506000000000006</v>
      </c>
      <c r="I30" t="s">
        <v>18</v>
      </c>
      <c r="J30" t="s">
        <v>18</v>
      </c>
      <c r="K30" t="s">
        <v>18</v>
      </c>
      <c r="L30" t="s">
        <v>18</v>
      </c>
      <c r="M30" t="s">
        <v>18</v>
      </c>
      <c r="N30" t="s">
        <v>18</v>
      </c>
      <c r="O30" t="s">
        <v>18</v>
      </c>
    </row>
    <row r="31" spans="1:15" ht="18" customHeight="1" x14ac:dyDescent="0.15">
      <c r="A31" t="s">
        <v>18</v>
      </c>
      <c r="B31" t="s">
        <v>18</v>
      </c>
      <c r="C31" s="6" t="s">
        <v>30</v>
      </c>
      <c r="D31" s="7" t="s">
        <v>31</v>
      </c>
      <c r="E31" s="8">
        <v>1</v>
      </c>
      <c r="F31" t="s">
        <v>32</v>
      </c>
      <c r="G31" s="9">
        <v>0.7</v>
      </c>
      <c r="H31" s="10">
        <v>0.7</v>
      </c>
      <c r="I31" t="s">
        <v>18</v>
      </c>
      <c r="J31" t="s">
        <v>18</v>
      </c>
      <c r="K31" t="s">
        <v>18</v>
      </c>
      <c r="L31" t="s">
        <v>18</v>
      </c>
      <c r="M31" t="s">
        <v>18</v>
      </c>
      <c r="N31" t="s">
        <v>18</v>
      </c>
      <c r="O31" t="s">
        <v>18</v>
      </c>
    </row>
    <row r="33" spans="1:15" ht="20" customHeight="1" x14ac:dyDescent="0.15">
      <c r="A33" s="2" t="s">
        <v>250</v>
      </c>
      <c r="B33" s="2" t="s">
        <v>141</v>
      </c>
      <c r="C33" s="2" t="s">
        <v>18</v>
      </c>
      <c r="D33" s="2" t="s">
        <v>18</v>
      </c>
      <c r="E33" s="2" t="s">
        <v>18</v>
      </c>
      <c r="F33" s="2" t="s">
        <v>18</v>
      </c>
      <c r="G33" s="2" t="s">
        <v>18</v>
      </c>
      <c r="H33" s="2" t="s">
        <v>18</v>
      </c>
      <c r="I33" s="3">
        <v>57</v>
      </c>
      <c r="J33" s="3">
        <f>SUM(H34:H41)</f>
        <v>16.645499999999998</v>
      </c>
      <c r="K33" s="4">
        <f>J33/(I33/1.18)</f>
        <v>0.34459105263157891</v>
      </c>
      <c r="L33" s="5">
        <v>267</v>
      </c>
      <c r="M33" s="3">
        <f>L33*(I33/1.18)</f>
        <v>12897.457627118645</v>
      </c>
      <c r="N33" s="3">
        <f>L33*J33</f>
        <v>4444.3484999999991</v>
      </c>
      <c r="O33" s="4">
        <f>N33/M33</f>
        <v>0.34459105263157885</v>
      </c>
    </row>
    <row r="34" spans="1:15" ht="18" customHeight="1" x14ac:dyDescent="0.15">
      <c r="A34" t="s">
        <v>18</v>
      </c>
      <c r="B34" t="s">
        <v>18</v>
      </c>
      <c r="C34" s="6" t="s">
        <v>26</v>
      </c>
      <c r="D34" s="7" t="s">
        <v>20</v>
      </c>
      <c r="E34" s="8">
        <v>1</v>
      </c>
      <c r="F34" t="s">
        <v>27</v>
      </c>
      <c r="G34" s="9">
        <v>2.35</v>
      </c>
      <c r="H34" s="10">
        <v>2.35</v>
      </c>
      <c r="I34" t="s">
        <v>18</v>
      </c>
      <c r="J34" t="s">
        <v>18</v>
      </c>
      <c r="K34" t="s">
        <v>18</v>
      </c>
      <c r="L34" t="s">
        <v>18</v>
      </c>
      <c r="M34" t="s">
        <v>18</v>
      </c>
      <c r="N34" t="s">
        <v>18</v>
      </c>
      <c r="O34" t="s">
        <v>18</v>
      </c>
    </row>
    <row r="35" spans="1:15" ht="18" customHeight="1" x14ac:dyDescent="0.15">
      <c r="A35" t="s">
        <v>18</v>
      </c>
      <c r="B35" t="s">
        <v>18</v>
      </c>
      <c r="C35" s="6" t="s">
        <v>123</v>
      </c>
      <c r="D35" s="7" t="s">
        <v>35</v>
      </c>
      <c r="E35" s="8">
        <v>0.03</v>
      </c>
      <c r="F35" t="s">
        <v>36</v>
      </c>
      <c r="G35" s="9">
        <v>12.05</v>
      </c>
      <c r="H35" s="10">
        <v>0.36149999999999999</v>
      </c>
      <c r="I35" t="s">
        <v>18</v>
      </c>
      <c r="J35" t="s">
        <v>18</v>
      </c>
      <c r="K35" t="s">
        <v>18</v>
      </c>
      <c r="L35" t="s">
        <v>18</v>
      </c>
      <c r="M35" t="s">
        <v>18</v>
      </c>
      <c r="N35" t="s">
        <v>18</v>
      </c>
      <c r="O35" t="s">
        <v>18</v>
      </c>
    </row>
    <row r="36" spans="1:15" ht="18" customHeight="1" x14ac:dyDescent="0.15">
      <c r="A36" t="s">
        <v>18</v>
      </c>
      <c r="B36" t="s">
        <v>18</v>
      </c>
      <c r="C36" s="6" t="s">
        <v>142</v>
      </c>
      <c r="D36" s="7" t="s">
        <v>20</v>
      </c>
      <c r="E36" s="8">
        <v>0.03</v>
      </c>
      <c r="F36" t="s">
        <v>21</v>
      </c>
      <c r="G36" s="9">
        <v>14</v>
      </c>
      <c r="H36" s="10">
        <f>G36*E36</f>
        <v>0.42</v>
      </c>
      <c r="I36" t="s">
        <v>18</v>
      </c>
      <c r="J36" t="s">
        <v>18</v>
      </c>
      <c r="K36" t="s">
        <v>18</v>
      </c>
      <c r="L36" t="s">
        <v>18</v>
      </c>
      <c r="M36" t="s">
        <v>18</v>
      </c>
      <c r="N36" t="s">
        <v>18</v>
      </c>
      <c r="O36" t="s">
        <v>18</v>
      </c>
    </row>
    <row r="37" spans="1:15" ht="18" customHeight="1" x14ac:dyDescent="0.15">
      <c r="A37" t="s">
        <v>18</v>
      </c>
      <c r="B37" t="s">
        <v>18</v>
      </c>
      <c r="C37" s="6" t="s">
        <v>126</v>
      </c>
      <c r="D37" s="7" t="s">
        <v>20</v>
      </c>
      <c r="E37" s="8">
        <v>0.04</v>
      </c>
      <c r="F37" t="s">
        <v>21</v>
      </c>
      <c r="G37" s="9">
        <v>10</v>
      </c>
      <c r="H37" s="10">
        <v>0.4</v>
      </c>
      <c r="I37" t="s">
        <v>18</v>
      </c>
      <c r="J37" t="s">
        <v>18</v>
      </c>
      <c r="K37" t="s">
        <v>18</v>
      </c>
      <c r="L37" t="s">
        <v>18</v>
      </c>
      <c r="M37" t="s">
        <v>18</v>
      </c>
      <c r="N37" t="s">
        <v>18</v>
      </c>
      <c r="O37" t="s">
        <v>18</v>
      </c>
    </row>
    <row r="38" spans="1:15" ht="18" customHeight="1" x14ac:dyDescent="0.15">
      <c r="A38" t="s">
        <v>18</v>
      </c>
      <c r="B38" t="s">
        <v>18</v>
      </c>
      <c r="C38" s="6" t="s">
        <v>143</v>
      </c>
      <c r="D38" s="7" t="s">
        <v>20</v>
      </c>
      <c r="E38" s="8">
        <v>0.02</v>
      </c>
      <c r="F38" t="s">
        <v>21</v>
      </c>
      <c r="G38" s="9">
        <v>5.5</v>
      </c>
      <c r="H38" s="10">
        <v>0.11</v>
      </c>
      <c r="I38" t="s">
        <v>18</v>
      </c>
      <c r="J38" t="s">
        <v>18</v>
      </c>
      <c r="K38" t="s">
        <v>18</v>
      </c>
      <c r="L38" t="s">
        <v>18</v>
      </c>
      <c r="M38" t="s">
        <v>18</v>
      </c>
      <c r="N38" t="s">
        <v>18</v>
      </c>
      <c r="O38" t="s">
        <v>18</v>
      </c>
    </row>
    <row r="39" spans="1:15" ht="18" customHeight="1" x14ac:dyDescent="0.15">
      <c r="A39" t="s">
        <v>18</v>
      </c>
      <c r="B39" t="s">
        <v>18</v>
      </c>
      <c r="C39" s="6" t="s">
        <v>124</v>
      </c>
      <c r="D39" s="7" t="s">
        <v>35</v>
      </c>
      <c r="E39" s="8">
        <v>0.02</v>
      </c>
      <c r="F39" t="s">
        <v>36</v>
      </c>
      <c r="G39" s="9">
        <v>8.3000000000000007</v>
      </c>
      <c r="H39" s="10">
        <v>0.16600000000000001</v>
      </c>
      <c r="I39" t="s">
        <v>18</v>
      </c>
      <c r="J39" t="s">
        <v>18</v>
      </c>
      <c r="K39" t="s">
        <v>18</v>
      </c>
      <c r="L39" t="s">
        <v>18</v>
      </c>
      <c r="M39" t="s">
        <v>18</v>
      </c>
      <c r="N39" t="s">
        <v>18</v>
      </c>
      <c r="O39" t="s">
        <v>18</v>
      </c>
    </row>
    <row r="40" spans="1:15" ht="18" customHeight="1" x14ac:dyDescent="0.15">
      <c r="A40" t="s">
        <v>18</v>
      </c>
      <c r="B40" t="s">
        <v>18</v>
      </c>
      <c r="C40" s="6" t="s">
        <v>122</v>
      </c>
      <c r="D40" s="7" t="s">
        <v>35</v>
      </c>
      <c r="E40" s="8">
        <v>0.3</v>
      </c>
      <c r="F40" t="s">
        <v>36</v>
      </c>
      <c r="G40" s="9">
        <v>40.46</v>
      </c>
      <c r="H40" s="10">
        <f>G40*E40</f>
        <v>12.138</v>
      </c>
      <c r="I40" t="s">
        <v>18</v>
      </c>
      <c r="J40" t="s">
        <v>18</v>
      </c>
      <c r="K40" t="s">
        <v>18</v>
      </c>
      <c r="L40" t="s">
        <v>18</v>
      </c>
      <c r="M40" t="s">
        <v>18</v>
      </c>
      <c r="N40" t="s">
        <v>18</v>
      </c>
      <c r="O40" t="s">
        <v>18</v>
      </c>
    </row>
    <row r="41" spans="1:15" ht="18" customHeight="1" x14ac:dyDescent="0.15">
      <c r="A41" t="s">
        <v>18</v>
      </c>
      <c r="B41" t="s">
        <v>18</v>
      </c>
      <c r="C41" s="6" t="s">
        <v>30</v>
      </c>
      <c r="D41" s="7" t="s">
        <v>31</v>
      </c>
      <c r="E41" s="8">
        <v>1</v>
      </c>
      <c r="F41" t="s">
        <v>32</v>
      </c>
      <c r="G41" s="9">
        <v>0.7</v>
      </c>
      <c r="H41" s="10">
        <v>0.7</v>
      </c>
      <c r="I41" t="s">
        <v>18</v>
      </c>
      <c r="J41" t="s">
        <v>18</v>
      </c>
      <c r="K41" t="s">
        <v>18</v>
      </c>
      <c r="L41" t="s">
        <v>18</v>
      </c>
      <c r="M41" t="s">
        <v>18</v>
      </c>
      <c r="N41" t="s">
        <v>18</v>
      </c>
      <c r="O41" t="s">
        <v>18</v>
      </c>
    </row>
    <row r="43" spans="1:15" ht="20" customHeight="1" x14ac:dyDescent="0.15">
      <c r="A43" s="2" t="s">
        <v>251</v>
      </c>
      <c r="B43" s="2" t="s">
        <v>141</v>
      </c>
      <c r="C43" s="2" t="s">
        <v>18</v>
      </c>
      <c r="D43" s="2" t="s">
        <v>18</v>
      </c>
      <c r="E43" s="2" t="s">
        <v>18</v>
      </c>
      <c r="F43" s="2" t="s">
        <v>18</v>
      </c>
      <c r="G43" s="2" t="s">
        <v>18</v>
      </c>
      <c r="H43" s="2" t="s">
        <v>18</v>
      </c>
      <c r="I43" s="3">
        <v>79</v>
      </c>
      <c r="J43" s="3">
        <f>SUM(H44:H51)</f>
        <v>22.714500000000001</v>
      </c>
      <c r="K43" s="4">
        <f>J43/(I43/1.18)</f>
        <v>0.33927987341772153</v>
      </c>
      <c r="L43" s="5">
        <v>32</v>
      </c>
      <c r="M43" s="3">
        <f>L43*(I43/1.18)</f>
        <v>2142.3728813559323</v>
      </c>
      <c r="N43" s="3">
        <f>L43*J43</f>
        <v>726.86400000000003</v>
      </c>
      <c r="O43" s="4">
        <f>N43/M43</f>
        <v>0.33927987341772153</v>
      </c>
    </row>
    <row r="44" spans="1:15" ht="18" customHeight="1" x14ac:dyDescent="0.15">
      <c r="A44" t="s">
        <v>18</v>
      </c>
      <c r="B44" t="s">
        <v>18</v>
      </c>
      <c r="C44" s="6" t="s">
        <v>26</v>
      </c>
      <c r="D44" s="7" t="s">
        <v>20</v>
      </c>
      <c r="E44" s="8">
        <v>1</v>
      </c>
      <c r="F44" t="s">
        <v>27</v>
      </c>
      <c r="G44" s="9">
        <v>2.35</v>
      </c>
      <c r="H44" s="10">
        <v>2.35</v>
      </c>
      <c r="I44" t="s">
        <v>18</v>
      </c>
      <c r="J44" t="s">
        <v>18</v>
      </c>
      <c r="K44" t="s">
        <v>18</v>
      </c>
      <c r="L44" t="s">
        <v>18</v>
      </c>
      <c r="M44" t="s">
        <v>18</v>
      </c>
      <c r="N44" t="s">
        <v>18</v>
      </c>
      <c r="O44" t="s">
        <v>18</v>
      </c>
    </row>
    <row r="45" spans="1:15" ht="18" customHeight="1" x14ac:dyDescent="0.15">
      <c r="A45" t="s">
        <v>18</v>
      </c>
      <c r="B45" t="s">
        <v>18</v>
      </c>
      <c r="C45" s="6" t="s">
        <v>123</v>
      </c>
      <c r="D45" s="7" t="s">
        <v>35</v>
      </c>
      <c r="E45" s="8">
        <v>0.03</v>
      </c>
      <c r="F45" t="s">
        <v>36</v>
      </c>
      <c r="G45" s="9">
        <v>12.05</v>
      </c>
      <c r="H45" s="10">
        <v>0.36149999999999999</v>
      </c>
      <c r="I45" t="s">
        <v>18</v>
      </c>
      <c r="J45" t="s">
        <v>18</v>
      </c>
      <c r="K45" t="s">
        <v>18</v>
      </c>
      <c r="L45" t="s">
        <v>18</v>
      </c>
      <c r="M45" t="s">
        <v>18</v>
      </c>
      <c r="N45" t="s">
        <v>18</v>
      </c>
      <c r="O45" t="s">
        <v>18</v>
      </c>
    </row>
    <row r="46" spans="1:15" ht="18" customHeight="1" x14ac:dyDescent="0.15">
      <c r="A46" t="s">
        <v>18</v>
      </c>
      <c r="B46" t="s">
        <v>18</v>
      </c>
      <c r="C46" s="6" t="s">
        <v>142</v>
      </c>
      <c r="D46" s="7" t="s">
        <v>20</v>
      </c>
      <c r="E46" s="8">
        <v>0.03</v>
      </c>
      <c r="F46" t="s">
        <v>21</v>
      </c>
      <c r="G46" s="9">
        <v>14</v>
      </c>
      <c r="H46" s="10">
        <f>G46*E46</f>
        <v>0.42</v>
      </c>
      <c r="I46" t="s">
        <v>18</v>
      </c>
      <c r="J46" t="s">
        <v>18</v>
      </c>
      <c r="K46" t="s">
        <v>18</v>
      </c>
      <c r="L46" t="s">
        <v>18</v>
      </c>
      <c r="M46" t="s">
        <v>18</v>
      </c>
      <c r="N46" t="s">
        <v>18</v>
      </c>
      <c r="O46" t="s">
        <v>18</v>
      </c>
    </row>
    <row r="47" spans="1:15" ht="18" customHeight="1" x14ac:dyDescent="0.15">
      <c r="A47" t="s">
        <v>18</v>
      </c>
      <c r="B47" t="s">
        <v>18</v>
      </c>
      <c r="C47" s="6" t="s">
        <v>126</v>
      </c>
      <c r="D47" s="7" t="s">
        <v>20</v>
      </c>
      <c r="E47" s="8">
        <v>0.04</v>
      </c>
      <c r="F47" t="s">
        <v>21</v>
      </c>
      <c r="G47" s="9">
        <v>10</v>
      </c>
      <c r="H47" s="10">
        <v>0.4</v>
      </c>
      <c r="I47" t="s">
        <v>18</v>
      </c>
      <c r="J47" t="s">
        <v>18</v>
      </c>
      <c r="K47" t="s">
        <v>18</v>
      </c>
      <c r="L47" t="s">
        <v>18</v>
      </c>
      <c r="M47" t="s">
        <v>18</v>
      </c>
      <c r="N47" t="s">
        <v>18</v>
      </c>
      <c r="O47" t="s">
        <v>18</v>
      </c>
    </row>
    <row r="48" spans="1:15" ht="18" customHeight="1" x14ac:dyDescent="0.15">
      <c r="A48" t="s">
        <v>18</v>
      </c>
      <c r="B48" t="s">
        <v>18</v>
      </c>
      <c r="C48" s="6" t="s">
        <v>143</v>
      </c>
      <c r="D48" s="7" t="s">
        <v>20</v>
      </c>
      <c r="E48" s="8">
        <v>0.02</v>
      </c>
      <c r="F48" t="s">
        <v>21</v>
      </c>
      <c r="G48" s="9">
        <v>5.5</v>
      </c>
      <c r="H48" s="10">
        <v>0.11</v>
      </c>
      <c r="I48" t="s">
        <v>18</v>
      </c>
      <c r="J48" t="s">
        <v>18</v>
      </c>
      <c r="K48" t="s">
        <v>18</v>
      </c>
      <c r="L48" t="s">
        <v>18</v>
      </c>
      <c r="M48" t="s">
        <v>18</v>
      </c>
      <c r="N48" t="s">
        <v>18</v>
      </c>
      <c r="O48" t="s">
        <v>18</v>
      </c>
    </row>
    <row r="49" spans="1:15" ht="18" customHeight="1" x14ac:dyDescent="0.15">
      <c r="A49" t="s">
        <v>18</v>
      </c>
      <c r="B49" t="s">
        <v>18</v>
      </c>
      <c r="C49" s="6" t="s">
        <v>124</v>
      </c>
      <c r="D49" s="7" t="s">
        <v>35</v>
      </c>
      <c r="E49" s="8">
        <v>0.02</v>
      </c>
      <c r="F49" t="s">
        <v>36</v>
      </c>
      <c r="G49" s="9">
        <v>8.3000000000000007</v>
      </c>
      <c r="H49" s="10">
        <v>0.16600000000000001</v>
      </c>
      <c r="I49" t="s">
        <v>18</v>
      </c>
      <c r="J49" t="s">
        <v>18</v>
      </c>
      <c r="K49" t="s">
        <v>18</v>
      </c>
      <c r="L49" t="s">
        <v>18</v>
      </c>
      <c r="M49" t="s">
        <v>18</v>
      </c>
      <c r="N49" t="s">
        <v>18</v>
      </c>
      <c r="O49" t="s">
        <v>18</v>
      </c>
    </row>
    <row r="50" spans="1:15" ht="18" customHeight="1" x14ac:dyDescent="0.15">
      <c r="A50" t="s">
        <v>18</v>
      </c>
      <c r="B50" t="s">
        <v>18</v>
      </c>
      <c r="C50" s="6" t="s">
        <v>122</v>
      </c>
      <c r="D50" s="7" t="s">
        <v>35</v>
      </c>
      <c r="E50" s="8">
        <v>0.45</v>
      </c>
      <c r="F50" t="s">
        <v>36</v>
      </c>
      <c r="G50" s="9">
        <v>40.46</v>
      </c>
      <c r="H50" s="10">
        <f>G50*E50</f>
        <v>18.207000000000001</v>
      </c>
      <c r="J50" t="s">
        <v>18</v>
      </c>
      <c r="K50" t="s">
        <v>18</v>
      </c>
      <c r="L50" t="s">
        <v>18</v>
      </c>
      <c r="M50" t="s">
        <v>18</v>
      </c>
      <c r="N50" t="s">
        <v>18</v>
      </c>
      <c r="O50" t="s">
        <v>18</v>
      </c>
    </row>
    <row r="51" spans="1:15" ht="18" customHeight="1" x14ac:dyDescent="0.15">
      <c r="A51" t="s">
        <v>18</v>
      </c>
      <c r="B51" t="s">
        <v>18</v>
      </c>
      <c r="C51" s="6" t="s">
        <v>30</v>
      </c>
      <c r="D51" s="7" t="s">
        <v>31</v>
      </c>
      <c r="E51" s="8">
        <v>1</v>
      </c>
      <c r="F51" t="s">
        <v>32</v>
      </c>
      <c r="G51" s="9">
        <v>0.7</v>
      </c>
      <c r="H51" s="10">
        <v>0.7</v>
      </c>
      <c r="I51" t="s">
        <v>18</v>
      </c>
      <c r="J51" t="s">
        <v>18</v>
      </c>
      <c r="K51" t="s">
        <v>18</v>
      </c>
      <c r="L51" t="s">
        <v>18</v>
      </c>
      <c r="M51" t="s">
        <v>18</v>
      </c>
      <c r="N51" t="s">
        <v>18</v>
      </c>
      <c r="O51" t="s">
        <v>18</v>
      </c>
    </row>
    <row r="53" spans="1:15" ht="20" customHeight="1" x14ac:dyDescent="0.15">
      <c r="A53" s="2" t="s">
        <v>144</v>
      </c>
      <c r="B53" s="2" t="s">
        <v>141</v>
      </c>
      <c r="C53" s="2" t="s">
        <v>18</v>
      </c>
      <c r="D53" s="2" t="s">
        <v>18</v>
      </c>
      <c r="E53" s="2" t="s">
        <v>18</v>
      </c>
      <c r="F53" s="2" t="s">
        <v>18</v>
      </c>
      <c r="G53" s="2" t="s">
        <v>18</v>
      </c>
      <c r="H53" s="2" t="s">
        <v>18</v>
      </c>
      <c r="I53" s="3">
        <v>42</v>
      </c>
      <c r="J53" s="3">
        <f>SUM(H54:H60)</f>
        <v>6.6230000000000011</v>
      </c>
      <c r="K53" s="4">
        <f>J53/(I53/1.18)</f>
        <v>0.18607476190476194</v>
      </c>
      <c r="L53" s="5">
        <v>2</v>
      </c>
      <c r="M53" s="3">
        <f>L53*(I53/1.18)</f>
        <v>71.186440677966104</v>
      </c>
      <c r="N53" s="3">
        <f>L53*J53</f>
        <v>13.246000000000002</v>
      </c>
      <c r="O53" s="4">
        <f>N53/M53</f>
        <v>0.18607476190476194</v>
      </c>
    </row>
    <row r="54" spans="1:15" ht="18" customHeight="1" x14ac:dyDescent="0.15">
      <c r="A54" t="s">
        <v>18</v>
      </c>
      <c r="B54" t="s">
        <v>18</v>
      </c>
      <c r="C54" s="6" t="s">
        <v>30</v>
      </c>
      <c r="D54" s="7" t="s">
        <v>31</v>
      </c>
      <c r="E54" s="8">
        <v>1</v>
      </c>
      <c r="F54" t="s">
        <v>32</v>
      </c>
      <c r="G54" s="9">
        <v>0.7</v>
      </c>
      <c r="H54" s="10">
        <v>0.7</v>
      </c>
      <c r="I54" t="s">
        <v>18</v>
      </c>
      <c r="J54" t="s">
        <v>18</v>
      </c>
      <c r="K54" t="s">
        <v>18</v>
      </c>
      <c r="L54" t="s">
        <v>18</v>
      </c>
      <c r="M54" t="s">
        <v>18</v>
      </c>
      <c r="N54" t="s">
        <v>18</v>
      </c>
      <c r="O54" t="s">
        <v>18</v>
      </c>
    </row>
    <row r="55" spans="1:15" ht="18" customHeight="1" x14ac:dyDescent="0.15">
      <c r="A55" t="s">
        <v>18</v>
      </c>
      <c r="B55" t="s">
        <v>18</v>
      </c>
      <c r="C55" s="6" t="s">
        <v>145</v>
      </c>
      <c r="D55" s="7" t="s">
        <v>35</v>
      </c>
      <c r="E55" s="8">
        <v>0.15</v>
      </c>
      <c r="F55" t="s">
        <v>36</v>
      </c>
      <c r="G55" s="9">
        <v>15.77</v>
      </c>
      <c r="H55" s="10">
        <v>2.3654999999999999</v>
      </c>
      <c r="I55" t="s">
        <v>18</v>
      </c>
      <c r="J55" t="s">
        <v>18</v>
      </c>
      <c r="K55" t="s">
        <v>18</v>
      </c>
      <c r="L55" t="s">
        <v>18</v>
      </c>
      <c r="M55" t="s">
        <v>18</v>
      </c>
      <c r="N55" t="s">
        <v>18</v>
      </c>
      <c r="O55" t="s">
        <v>18</v>
      </c>
    </row>
    <row r="56" spans="1:15" ht="18" customHeight="1" x14ac:dyDescent="0.15">
      <c r="A56" t="s">
        <v>18</v>
      </c>
      <c r="B56" t="s">
        <v>18</v>
      </c>
      <c r="C56" s="6" t="s">
        <v>124</v>
      </c>
      <c r="D56" s="7" t="s">
        <v>35</v>
      </c>
      <c r="E56" s="8">
        <v>0.02</v>
      </c>
      <c r="F56" t="s">
        <v>36</v>
      </c>
      <c r="G56" s="9">
        <v>8.3000000000000007</v>
      </c>
      <c r="H56" s="10">
        <v>0.16600000000000001</v>
      </c>
      <c r="I56" t="s">
        <v>18</v>
      </c>
      <c r="J56" t="s">
        <v>18</v>
      </c>
      <c r="K56" t="s">
        <v>18</v>
      </c>
      <c r="L56" t="s">
        <v>18</v>
      </c>
      <c r="M56" t="s">
        <v>18</v>
      </c>
      <c r="N56" t="s">
        <v>18</v>
      </c>
      <c r="O56" t="s">
        <v>18</v>
      </c>
    </row>
    <row r="57" spans="1:15" ht="18" customHeight="1" x14ac:dyDescent="0.15">
      <c r="A57" t="s">
        <v>18</v>
      </c>
      <c r="B57" t="s">
        <v>18</v>
      </c>
      <c r="C57" s="6" t="s">
        <v>126</v>
      </c>
      <c r="D57" s="7" t="s">
        <v>20</v>
      </c>
      <c r="E57" s="8">
        <v>0.04</v>
      </c>
      <c r="F57" t="s">
        <v>21</v>
      </c>
      <c r="G57" s="9">
        <v>10</v>
      </c>
      <c r="H57" s="10">
        <v>0.4</v>
      </c>
      <c r="I57" t="s">
        <v>18</v>
      </c>
      <c r="J57" t="s">
        <v>18</v>
      </c>
      <c r="K57" t="s">
        <v>18</v>
      </c>
      <c r="L57" t="s">
        <v>18</v>
      </c>
      <c r="M57" t="s">
        <v>18</v>
      </c>
      <c r="N57" t="s">
        <v>18</v>
      </c>
      <c r="O57" t="s">
        <v>18</v>
      </c>
    </row>
    <row r="58" spans="1:15" ht="18" customHeight="1" x14ac:dyDescent="0.15">
      <c r="A58" t="s">
        <v>18</v>
      </c>
      <c r="B58" t="s">
        <v>18</v>
      </c>
      <c r="C58" s="6" t="s">
        <v>142</v>
      </c>
      <c r="D58" s="7" t="s">
        <v>20</v>
      </c>
      <c r="E58" s="8">
        <v>0.02</v>
      </c>
      <c r="F58" t="s">
        <v>21</v>
      </c>
      <c r="G58" s="9">
        <v>14</v>
      </c>
      <c r="H58" s="10">
        <f>G58*E58</f>
        <v>0.28000000000000003</v>
      </c>
      <c r="I58" t="s">
        <v>18</v>
      </c>
      <c r="J58" t="s">
        <v>18</v>
      </c>
      <c r="K58" t="s">
        <v>18</v>
      </c>
      <c r="L58" t="s">
        <v>18</v>
      </c>
      <c r="M58" t="s">
        <v>18</v>
      </c>
      <c r="N58" t="s">
        <v>18</v>
      </c>
      <c r="O58" t="s">
        <v>18</v>
      </c>
    </row>
    <row r="59" spans="1:15" ht="18" customHeight="1" x14ac:dyDescent="0.15">
      <c r="A59" t="s">
        <v>18</v>
      </c>
      <c r="B59" t="s">
        <v>18</v>
      </c>
      <c r="C59" s="6" t="s">
        <v>123</v>
      </c>
      <c r="D59" s="7" t="s">
        <v>35</v>
      </c>
      <c r="E59" s="8">
        <v>0.03</v>
      </c>
      <c r="F59" t="s">
        <v>36</v>
      </c>
      <c r="G59" s="9">
        <v>12.05</v>
      </c>
      <c r="H59" s="10">
        <v>0.36149999999999999</v>
      </c>
      <c r="I59" t="s">
        <v>18</v>
      </c>
      <c r="J59" t="s">
        <v>18</v>
      </c>
      <c r="K59" t="s">
        <v>18</v>
      </c>
      <c r="L59" t="s">
        <v>18</v>
      </c>
      <c r="M59" t="s">
        <v>18</v>
      </c>
      <c r="N59" t="s">
        <v>18</v>
      </c>
      <c r="O59" t="s">
        <v>18</v>
      </c>
    </row>
    <row r="60" spans="1:15" ht="18" customHeight="1" x14ac:dyDescent="0.15">
      <c r="A60" t="s">
        <v>18</v>
      </c>
      <c r="B60" t="s">
        <v>18</v>
      </c>
      <c r="C60" s="6" t="s">
        <v>26</v>
      </c>
      <c r="D60" s="7" t="s">
        <v>20</v>
      </c>
      <c r="E60" s="8">
        <v>1</v>
      </c>
      <c r="F60" t="s">
        <v>27</v>
      </c>
      <c r="G60" s="9">
        <v>2.35</v>
      </c>
      <c r="H60" s="10">
        <v>2.35</v>
      </c>
      <c r="I60" t="s">
        <v>18</v>
      </c>
      <c r="J60" t="s">
        <v>18</v>
      </c>
      <c r="K60" t="s">
        <v>18</v>
      </c>
      <c r="L60" t="s">
        <v>18</v>
      </c>
      <c r="M60" t="s">
        <v>18</v>
      </c>
      <c r="N60" t="s">
        <v>18</v>
      </c>
      <c r="O60" t="s">
        <v>18</v>
      </c>
    </row>
  </sheetData>
  <mergeCells count="1">
    <mergeCell ref="A1:O1"/>
  </mergeCells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7"/>
  <sheetViews>
    <sheetView workbookViewId="0">
      <pane ySplit="2" topLeftCell="A3" activePane="bottomLeft" state="frozen"/>
      <selection pane="bottomLeft" sqref="A1:O1"/>
    </sheetView>
    <sheetView workbookViewId="1">
      <selection sqref="A1:O1"/>
    </sheetView>
  </sheetViews>
  <sheetFormatPr baseColWidth="10" defaultColWidth="8.83203125" defaultRowHeight="14" x14ac:dyDescent="0.15"/>
  <cols>
    <col min="1" max="1" width="28" customWidth="1"/>
    <col min="2" max="2" width="16" customWidth="1"/>
    <col min="3" max="3" width="28" customWidth="1"/>
    <col min="4" max="4" width="12" customWidth="1"/>
    <col min="5" max="6" width="8" customWidth="1"/>
    <col min="7" max="7" width="14" customWidth="1"/>
    <col min="8" max="9" width="18" customWidth="1"/>
    <col min="10" max="10" width="14" customWidth="1"/>
    <col min="11" max="12" width="10" customWidth="1"/>
    <col min="13" max="13" width="20" customWidth="1"/>
    <col min="14" max="14" width="24" customWidth="1"/>
    <col min="15" max="15" width="16" customWidth="1"/>
  </cols>
  <sheetData>
    <row r="1" spans="1:15" ht="18" customHeight="1" x14ac:dyDescent="0.15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</row>
    <row r="2" spans="1:15" ht="32" customHeight="1" x14ac:dyDescent="0.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 spans="1:15" ht="20" customHeight="1" x14ac:dyDescent="0.15">
      <c r="A3" s="2" t="s">
        <v>146</v>
      </c>
      <c r="B3" s="2" t="s">
        <v>147</v>
      </c>
      <c r="C3" s="2" t="s">
        <v>18</v>
      </c>
      <c r="D3" s="2" t="s">
        <v>18</v>
      </c>
      <c r="E3" s="2" t="s">
        <v>18</v>
      </c>
      <c r="F3" s="2" t="s">
        <v>18</v>
      </c>
      <c r="G3" s="2" t="s">
        <v>18</v>
      </c>
      <c r="H3" s="2" t="s">
        <v>18</v>
      </c>
      <c r="I3" s="3">
        <v>40</v>
      </c>
      <c r="J3" s="3">
        <v>15.158699999999998</v>
      </c>
      <c r="K3" s="13">
        <v>0.44718164999999993</v>
      </c>
      <c r="L3" s="5">
        <v>5</v>
      </c>
      <c r="M3" s="3">
        <v>160</v>
      </c>
      <c r="N3" s="3">
        <v>75.793499999999995</v>
      </c>
      <c r="O3" s="13">
        <v>0.5589770624999999</v>
      </c>
    </row>
    <row r="4" spans="1:15" ht="18" customHeight="1" x14ac:dyDescent="0.15">
      <c r="A4" t="s">
        <v>18</v>
      </c>
      <c r="B4" t="s">
        <v>18</v>
      </c>
      <c r="C4" s="6" t="s">
        <v>148</v>
      </c>
      <c r="D4" s="7" t="s">
        <v>20</v>
      </c>
      <c r="E4" s="8">
        <v>0.5</v>
      </c>
      <c r="F4" t="s">
        <v>27</v>
      </c>
      <c r="G4" s="9">
        <v>5.8</v>
      </c>
      <c r="H4" s="10">
        <v>2.9</v>
      </c>
      <c r="I4" t="s">
        <v>18</v>
      </c>
      <c r="J4" t="s">
        <v>18</v>
      </c>
      <c r="K4" t="s">
        <v>18</v>
      </c>
      <c r="L4" t="s">
        <v>18</v>
      </c>
      <c r="M4" t="s">
        <v>18</v>
      </c>
      <c r="N4" t="s">
        <v>18</v>
      </c>
      <c r="O4" t="s">
        <v>18</v>
      </c>
    </row>
    <row r="5" spans="1:15" ht="18" customHeight="1" x14ac:dyDescent="0.15">
      <c r="A5" t="s">
        <v>18</v>
      </c>
      <c r="B5" t="s">
        <v>18</v>
      </c>
      <c r="C5" s="6" t="s">
        <v>149</v>
      </c>
      <c r="D5" s="7" t="s">
        <v>20</v>
      </c>
      <c r="E5" s="8">
        <v>7.4999999999999997E-2</v>
      </c>
      <c r="F5" t="s">
        <v>21</v>
      </c>
      <c r="G5" s="9">
        <v>5</v>
      </c>
      <c r="H5" s="10">
        <v>0.41250000000000003</v>
      </c>
      <c r="I5" t="s">
        <v>18</v>
      </c>
      <c r="J5" t="s">
        <v>18</v>
      </c>
      <c r="K5" t="s">
        <v>18</v>
      </c>
      <c r="L5" t="s">
        <v>18</v>
      </c>
      <c r="M5" t="s">
        <v>18</v>
      </c>
      <c r="N5" t="s">
        <v>18</v>
      </c>
      <c r="O5" t="s">
        <v>18</v>
      </c>
    </row>
    <row r="6" spans="1:15" ht="18" customHeight="1" x14ac:dyDescent="0.15">
      <c r="A6" t="s">
        <v>18</v>
      </c>
      <c r="B6" t="s">
        <v>18</v>
      </c>
      <c r="C6" s="6" t="s">
        <v>150</v>
      </c>
      <c r="D6" s="7" t="s">
        <v>35</v>
      </c>
      <c r="E6" s="8">
        <v>0.36</v>
      </c>
      <c r="F6" t="s">
        <v>36</v>
      </c>
      <c r="G6" s="9">
        <v>13.02</v>
      </c>
      <c r="H6" s="10">
        <v>4.6871999999999998</v>
      </c>
      <c r="I6" t="s">
        <v>18</v>
      </c>
      <c r="J6" t="s">
        <v>18</v>
      </c>
      <c r="K6" t="s">
        <v>18</v>
      </c>
      <c r="L6" t="s">
        <v>18</v>
      </c>
      <c r="M6" t="s">
        <v>18</v>
      </c>
      <c r="N6" t="s">
        <v>18</v>
      </c>
      <c r="O6" t="s">
        <v>18</v>
      </c>
    </row>
    <row r="7" spans="1:15" ht="18" customHeight="1" x14ac:dyDescent="0.15">
      <c r="A7" t="s">
        <v>18</v>
      </c>
      <c r="B7" t="s">
        <v>18</v>
      </c>
      <c r="C7" s="6" t="s">
        <v>151</v>
      </c>
      <c r="D7" s="7" t="s">
        <v>35</v>
      </c>
      <c r="E7" s="8">
        <v>0.15</v>
      </c>
      <c r="F7" t="s">
        <v>36</v>
      </c>
      <c r="G7" s="9">
        <v>6.43</v>
      </c>
      <c r="H7" s="10">
        <v>0.96449999999999991</v>
      </c>
      <c r="I7" t="s">
        <v>18</v>
      </c>
      <c r="J7" t="s">
        <v>18</v>
      </c>
      <c r="K7" t="s">
        <v>18</v>
      </c>
      <c r="L7" t="s">
        <v>18</v>
      </c>
      <c r="M7" t="s">
        <v>18</v>
      </c>
      <c r="N7" t="s">
        <v>18</v>
      </c>
      <c r="O7" t="s">
        <v>18</v>
      </c>
    </row>
    <row r="8" spans="1:15" ht="18" customHeight="1" x14ac:dyDescent="0.15">
      <c r="A8" t="s">
        <v>18</v>
      </c>
      <c r="B8" t="s">
        <v>18</v>
      </c>
      <c r="C8" s="6" t="s">
        <v>152</v>
      </c>
      <c r="D8" s="7" t="s">
        <v>20</v>
      </c>
      <c r="E8" s="8">
        <v>0.03</v>
      </c>
      <c r="F8" t="s">
        <v>21</v>
      </c>
      <c r="G8" s="9">
        <v>23</v>
      </c>
      <c r="H8" s="10">
        <v>0.69</v>
      </c>
      <c r="I8" t="s">
        <v>18</v>
      </c>
      <c r="J8" t="s">
        <v>18</v>
      </c>
      <c r="K8" t="s">
        <v>18</v>
      </c>
      <c r="L8" t="s">
        <v>18</v>
      </c>
      <c r="M8" t="s">
        <v>18</v>
      </c>
      <c r="N8" t="s">
        <v>18</v>
      </c>
      <c r="O8" t="s">
        <v>18</v>
      </c>
    </row>
    <row r="9" spans="1:15" ht="18" customHeight="1" x14ac:dyDescent="0.15">
      <c r="A9" t="s">
        <v>18</v>
      </c>
      <c r="B9" t="s">
        <v>18</v>
      </c>
      <c r="C9" s="6" t="s">
        <v>153</v>
      </c>
      <c r="D9" s="7" t="s">
        <v>20</v>
      </c>
      <c r="E9" s="8">
        <v>0.06</v>
      </c>
      <c r="F9" t="s">
        <v>21</v>
      </c>
      <c r="G9" s="9">
        <v>18.899999999999999</v>
      </c>
      <c r="H9" s="10">
        <v>1.1339999999999999</v>
      </c>
      <c r="I9" t="s">
        <v>18</v>
      </c>
      <c r="J9" t="s">
        <v>18</v>
      </c>
      <c r="K9" t="s">
        <v>18</v>
      </c>
      <c r="L9" t="s">
        <v>18</v>
      </c>
      <c r="M9" t="s">
        <v>18</v>
      </c>
      <c r="N9" t="s">
        <v>18</v>
      </c>
      <c r="O9" t="s">
        <v>18</v>
      </c>
    </row>
    <row r="10" spans="1:15" ht="18" customHeight="1" x14ac:dyDescent="0.15">
      <c r="A10" t="s">
        <v>18</v>
      </c>
      <c r="B10" t="s">
        <v>18</v>
      </c>
      <c r="C10" s="6" t="s">
        <v>143</v>
      </c>
      <c r="D10" s="7" t="s">
        <v>20</v>
      </c>
      <c r="E10" s="8">
        <v>1.4999999999999999E-2</v>
      </c>
      <c r="F10" t="s">
        <v>21</v>
      </c>
      <c r="G10" s="9">
        <v>5.5</v>
      </c>
      <c r="H10" s="10">
        <v>8.249999999999999E-2</v>
      </c>
      <c r="I10" t="s">
        <v>18</v>
      </c>
      <c r="J10" t="s">
        <v>18</v>
      </c>
      <c r="K10" t="s">
        <v>18</v>
      </c>
      <c r="L10" t="s">
        <v>18</v>
      </c>
      <c r="M10" t="s">
        <v>18</v>
      </c>
      <c r="N10" t="s">
        <v>18</v>
      </c>
      <c r="O10" t="s">
        <v>18</v>
      </c>
    </row>
    <row r="11" spans="1:15" ht="18" customHeight="1" x14ac:dyDescent="0.15">
      <c r="A11" t="s">
        <v>18</v>
      </c>
      <c r="B11" t="s">
        <v>18</v>
      </c>
      <c r="C11" s="6" t="s">
        <v>154</v>
      </c>
      <c r="D11" s="7" t="s">
        <v>20</v>
      </c>
      <c r="E11" s="8">
        <v>0.16</v>
      </c>
      <c r="F11" t="s">
        <v>21</v>
      </c>
      <c r="G11" s="9">
        <v>26.8</v>
      </c>
      <c r="H11" s="10">
        <v>4.2880000000000003</v>
      </c>
      <c r="I11" t="s">
        <v>18</v>
      </c>
      <c r="J11" t="s">
        <v>18</v>
      </c>
      <c r="K11" t="s">
        <v>18</v>
      </c>
      <c r="L11" t="s">
        <v>18</v>
      </c>
      <c r="M11" t="s">
        <v>18</v>
      </c>
      <c r="N11" t="s">
        <v>18</v>
      </c>
      <c r="O11" t="s">
        <v>18</v>
      </c>
    </row>
    <row r="13" spans="1:15" ht="20" customHeight="1" x14ac:dyDescent="0.15">
      <c r="A13" s="2" t="s">
        <v>155</v>
      </c>
      <c r="B13" s="2" t="s">
        <v>147</v>
      </c>
      <c r="C13" s="2" t="s">
        <v>18</v>
      </c>
      <c r="D13" s="2" t="s">
        <v>18</v>
      </c>
      <c r="E13" s="2" t="s">
        <v>18</v>
      </c>
      <c r="F13" s="2" t="s">
        <v>18</v>
      </c>
      <c r="G13" s="2" t="s">
        <v>18</v>
      </c>
      <c r="H13" s="2" t="s">
        <v>18</v>
      </c>
      <c r="I13" s="3">
        <v>45</v>
      </c>
      <c r="J13" s="3">
        <v>13.55942328042328</v>
      </c>
      <c r="K13" s="13">
        <v>0.3555582104644327</v>
      </c>
      <c r="L13" s="5"/>
      <c r="M13" s="3"/>
      <c r="N13" s="3"/>
      <c r="O13" s="12"/>
    </row>
    <row r="14" spans="1:15" ht="18" customHeight="1" x14ac:dyDescent="0.15">
      <c r="A14" t="s">
        <v>18</v>
      </c>
      <c r="B14" t="s">
        <v>18</v>
      </c>
      <c r="C14" s="6" t="s">
        <v>148</v>
      </c>
      <c r="D14" s="7" t="s">
        <v>20</v>
      </c>
      <c r="E14" s="8">
        <v>0.5</v>
      </c>
      <c r="F14" t="s">
        <v>27</v>
      </c>
      <c r="G14" s="9">
        <v>5.8</v>
      </c>
      <c r="H14" s="10">
        <v>2.9</v>
      </c>
      <c r="I14" t="s">
        <v>18</v>
      </c>
      <c r="J14" t="s">
        <v>18</v>
      </c>
      <c r="K14" t="s">
        <v>18</v>
      </c>
      <c r="L14" t="s">
        <v>18</v>
      </c>
      <c r="M14" t="s">
        <v>18</v>
      </c>
      <c r="N14" t="s">
        <v>18</v>
      </c>
      <c r="O14" t="s">
        <v>18</v>
      </c>
    </row>
    <row r="15" spans="1:15" ht="18" customHeight="1" x14ac:dyDescent="0.15">
      <c r="A15" t="s">
        <v>18</v>
      </c>
      <c r="B15" t="s">
        <v>18</v>
      </c>
      <c r="C15" s="6" t="s">
        <v>156</v>
      </c>
      <c r="D15" s="7" t="s">
        <v>35</v>
      </c>
      <c r="E15" s="8">
        <v>0.9</v>
      </c>
      <c r="F15" t="s">
        <v>36</v>
      </c>
      <c r="G15" s="9">
        <v>10.61</v>
      </c>
      <c r="H15" s="10">
        <v>9.5489999999999995</v>
      </c>
      <c r="I15" t="s">
        <v>18</v>
      </c>
      <c r="J15" t="s">
        <v>18</v>
      </c>
      <c r="K15" t="s">
        <v>18</v>
      </c>
      <c r="L15" t="s">
        <v>18</v>
      </c>
      <c r="M15" t="s">
        <v>18</v>
      </c>
      <c r="N15" t="s">
        <v>18</v>
      </c>
      <c r="O15" t="s">
        <v>18</v>
      </c>
    </row>
    <row r="16" spans="1:15" ht="18" customHeight="1" x14ac:dyDescent="0.15">
      <c r="A16" t="s">
        <v>18</v>
      </c>
      <c r="B16" t="s">
        <v>18</v>
      </c>
      <c r="C16" s="6" t="s">
        <v>157</v>
      </c>
      <c r="D16" s="7" t="s">
        <v>20</v>
      </c>
      <c r="E16" s="8">
        <v>1.4999999999999999E-2</v>
      </c>
      <c r="F16" t="s">
        <v>21</v>
      </c>
      <c r="G16" s="9">
        <v>22.028218694885364</v>
      </c>
      <c r="H16" s="10">
        <v>0.33042328042328045</v>
      </c>
      <c r="I16" t="s">
        <v>18</v>
      </c>
      <c r="J16" t="s">
        <v>18</v>
      </c>
      <c r="K16" t="s">
        <v>18</v>
      </c>
      <c r="L16" t="s">
        <v>18</v>
      </c>
      <c r="M16" t="s">
        <v>18</v>
      </c>
      <c r="N16" t="s">
        <v>18</v>
      </c>
      <c r="O16" t="s">
        <v>18</v>
      </c>
    </row>
    <row r="17" spans="1:15" ht="18" customHeight="1" x14ac:dyDescent="0.15">
      <c r="A17" t="s">
        <v>18</v>
      </c>
      <c r="B17" t="s">
        <v>18</v>
      </c>
      <c r="C17" s="6" t="s">
        <v>158</v>
      </c>
      <c r="D17" s="7" t="s">
        <v>20</v>
      </c>
      <c r="E17" s="8">
        <v>1.4999999999999999E-2</v>
      </c>
      <c r="F17" t="s">
        <v>21</v>
      </c>
      <c r="G17" s="9">
        <v>52</v>
      </c>
      <c r="H17" s="10">
        <v>0.78</v>
      </c>
      <c r="I17" t="s">
        <v>18</v>
      </c>
      <c r="J17" t="s">
        <v>18</v>
      </c>
      <c r="K17" t="s">
        <v>18</v>
      </c>
      <c r="L17" t="s">
        <v>18</v>
      </c>
      <c r="M17" t="s">
        <v>18</v>
      </c>
      <c r="N17" t="s">
        <v>18</v>
      </c>
      <c r="O17" t="s">
        <v>18</v>
      </c>
    </row>
  </sheetData>
  <mergeCells count="1">
    <mergeCell ref="A1:O1"/>
  </mergeCells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29"/>
  <sheetViews>
    <sheetView workbookViewId="0">
      <pane ySplit="2" topLeftCell="A6" activePane="bottomLeft" state="frozen"/>
      <selection pane="bottomLeft" activeCell="G21" sqref="G21"/>
    </sheetView>
    <sheetView workbookViewId="1">
      <selection activeCell="A30" sqref="A30"/>
    </sheetView>
  </sheetViews>
  <sheetFormatPr baseColWidth="10" defaultColWidth="8.83203125" defaultRowHeight="14" x14ac:dyDescent="0.15"/>
  <cols>
    <col min="1" max="1" width="28" customWidth="1"/>
    <col min="2" max="2" width="16" customWidth="1"/>
    <col min="3" max="3" width="28" customWidth="1"/>
    <col min="4" max="4" width="12" customWidth="1"/>
    <col min="5" max="6" width="8" customWidth="1"/>
    <col min="7" max="7" width="14" customWidth="1"/>
    <col min="8" max="9" width="18" customWidth="1"/>
    <col min="10" max="10" width="14" customWidth="1"/>
    <col min="11" max="12" width="10" customWidth="1"/>
    <col min="13" max="13" width="20" customWidth="1"/>
    <col min="14" max="14" width="24" customWidth="1"/>
    <col min="15" max="15" width="16" customWidth="1"/>
  </cols>
  <sheetData>
    <row r="1" spans="1:15" ht="18" customHeight="1" x14ac:dyDescent="0.15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</row>
    <row r="2" spans="1:15" ht="32" customHeight="1" x14ac:dyDescent="0.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 spans="1:15" ht="20" customHeight="1" x14ac:dyDescent="0.15">
      <c r="A3" s="2" t="s">
        <v>159</v>
      </c>
      <c r="B3" s="2" t="s">
        <v>160</v>
      </c>
      <c r="C3" s="2" t="s">
        <v>18</v>
      </c>
      <c r="D3" s="2" t="s">
        <v>18</v>
      </c>
      <c r="E3" s="2" t="s">
        <v>18</v>
      </c>
      <c r="F3" s="2" t="s">
        <v>18</v>
      </c>
      <c r="G3" s="2" t="s">
        <v>18</v>
      </c>
      <c r="H3" s="2" t="s">
        <v>18</v>
      </c>
      <c r="I3" s="3">
        <v>80</v>
      </c>
      <c r="J3" s="3">
        <f>SUM(H4:H8)</f>
        <v>11.909700000000001</v>
      </c>
      <c r="K3" s="11">
        <f>J3/(I3/1.18)</f>
        <v>0.17566807500000001</v>
      </c>
      <c r="L3" s="5">
        <v>10</v>
      </c>
      <c r="M3" s="3">
        <f>L3*(I3/1.18)</f>
        <v>677.96610169491532</v>
      </c>
      <c r="N3" s="3">
        <f>L3*J3</f>
        <v>119.09700000000001</v>
      </c>
      <c r="O3" s="4">
        <f>N3/M3</f>
        <v>0.17566807500000001</v>
      </c>
    </row>
    <row r="4" spans="1:15" ht="18" customHeight="1" x14ac:dyDescent="0.15">
      <c r="A4" t="s">
        <v>18</v>
      </c>
      <c r="B4" t="s">
        <v>18</v>
      </c>
      <c r="C4" s="6" t="s">
        <v>47</v>
      </c>
      <c r="D4" s="7" t="s">
        <v>35</v>
      </c>
      <c r="E4" s="8">
        <v>0.05</v>
      </c>
      <c r="F4" t="s">
        <v>36</v>
      </c>
      <c r="G4" s="9">
        <v>28.9</v>
      </c>
      <c r="H4" s="10">
        <v>1.4450000000000001</v>
      </c>
      <c r="I4" t="s">
        <v>18</v>
      </c>
      <c r="J4" t="s">
        <v>18</v>
      </c>
      <c r="K4" t="s">
        <v>18</v>
      </c>
      <c r="L4" t="s">
        <v>18</v>
      </c>
      <c r="M4" t="s">
        <v>18</v>
      </c>
      <c r="N4" t="s">
        <v>18</v>
      </c>
      <c r="O4" t="s">
        <v>18</v>
      </c>
    </row>
    <row r="5" spans="1:15" ht="18" customHeight="1" x14ac:dyDescent="0.15">
      <c r="A5" t="s">
        <v>18</v>
      </c>
      <c r="B5" t="s">
        <v>18</v>
      </c>
      <c r="C5" s="6" t="s">
        <v>61</v>
      </c>
      <c r="D5" s="7" t="s">
        <v>35</v>
      </c>
      <c r="E5" s="8">
        <v>0.03</v>
      </c>
      <c r="F5" t="s">
        <v>36</v>
      </c>
      <c r="G5" s="9">
        <v>16.52</v>
      </c>
      <c r="H5" s="10">
        <v>0.49559999999999998</v>
      </c>
      <c r="I5" t="s">
        <v>18</v>
      </c>
      <c r="J5" t="s">
        <v>18</v>
      </c>
      <c r="K5" t="s">
        <v>18</v>
      </c>
      <c r="L5" t="s">
        <v>18</v>
      </c>
      <c r="M5" t="s">
        <v>18</v>
      </c>
      <c r="N5" t="s">
        <v>18</v>
      </c>
      <c r="O5" t="s">
        <v>18</v>
      </c>
    </row>
    <row r="6" spans="1:15" ht="18" customHeight="1" x14ac:dyDescent="0.15">
      <c r="A6" t="s">
        <v>18</v>
      </c>
      <c r="B6" t="s">
        <v>18</v>
      </c>
      <c r="C6" s="6" t="s">
        <v>62</v>
      </c>
      <c r="D6" s="7" t="s">
        <v>35</v>
      </c>
      <c r="E6" s="8">
        <v>0.03</v>
      </c>
      <c r="F6" t="s">
        <v>36</v>
      </c>
      <c r="G6" s="9">
        <v>13.24</v>
      </c>
      <c r="H6" s="10">
        <v>0.3972</v>
      </c>
      <c r="I6" t="s">
        <v>18</v>
      </c>
      <c r="J6" t="s">
        <v>18</v>
      </c>
      <c r="K6" t="s">
        <v>18</v>
      </c>
      <c r="L6" t="s">
        <v>18</v>
      </c>
      <c r="M6" t="s">
        <v>18</v>
      </c>
      <c r="N6" t="s">
        <v>18</v>
      </c>
      <c r="O6" t="s">
        <v>18</v>
      </c>
    </row>
    <row r="7" spans="1:15" ht="18" customHeight="1" x14ac:dyDescent="0.15">
      <c r="A7" t="s">
        <v>18</v>
      </c>
      <c r="B7" t="s">
        <v>18</v>
      </c>
      <c r="C7" s="6" t="s">
        <v>161</v>
      </c>
      <c r="D7" s="7" t="s">
        <v>35</v>
      </c>
      <c r="E7" s="8">
        <v>0.13</v>
      </c>
      <c r="F7" t="s">
        <v>36</v>
      </c>
      <c r="G7" s="9">
        <v>19.02</v>
      </c>
      <c r="H7" s="10">
        <v>2.4725999999999999</v>
      </c>
      <c r="I7" t="s">
        <v>18</v>
      </c>
      <c r="J7" t="s">
        <v>18</v>
      </c>
      <c r="K7" t="s">
        <v>18</v>
      </c>
      <c r="L7" t="s">
        <v>18</v>
      </c>
      <c r="M7" t="s">
        <v>18</v>
      </c>
      <c r="N7" t="s">
        <v>18</v>
      </c>
      <c r="O7" t="s">
        <v>18</v>
      </c>
    </row>
    <row r="8" spans="1:15" ht="18" customHeight="1" x14ac:dyDescent="0.15">
      <c r="A8" t="s">
        <v>18</v>
      </c>
      <c r="B8" t="s">
        <v>18</v>
      </c>
      <c r="C8" s="6" t="s">
        <v>60</v>
      </c>
      <c r="D8" s="7" t="s">
        <v>35</v>
      </c>
      <c r="E8" s="8">
        <v>0.13</v>
      </c>
      <c r="F8" t="s">
        <v>36</v>
      </c>
      <c r="G8" s="9">
        <v>54.61</v>
      </c>
      <c r="H8" s="10">
        <f>G8*E8</f>
        <v>7.0993000000000004</v>
      </c>
      <c r="I8" t="s">
        <v>18</v>
      </c>
      <c r="J8" t="s">
        <v>18</v>
      </c>
      <c r="K8" t="s">
        <v>18</v>
      </c>
      <c r="L8" t="s">
        <v>18</v>
      </c>
      <c r="M8" t="s">
        <v>18</v>
      </c>
      <c r="N8" t="s">
        <v>18</v>
      </c>
      <c r="O8" t="s">
        <v>18</v>
      </c>
    </row>
    <row r="10" spans="1:15" ht="20" customHeight="1" x14ac:dyDescent="0.15">
      <c r="A10" s="2" t="s">
        <v>162</v>
      </c>
      <c r="B10" s="2" t="s">
        <v>160</v>
      </c>
      <c r="C10" s="2" t="s">
        <v>18</v>
      </c>
      <c r="D10" s="2" t="s">
        <v>18</v>
      </c>
      <c r="E10" s="2" t="s">
        <v>18</v>
      </c>
      <c r="F10" s="2" t="s">
        <v>18</v>
      </c>
      <c r="G10" s="2" t="s">
        <v>18</v>
      </c>
      <c r="H10" s="2" t="s">
        <v>18</v>
      </c>
      <c r="I10" s="3">
        <v>46</v>
      </c>
      <c r="J10" s="3">
        <v>9.3544</v>
      </c>
      <c r="K10" s="11">
        <v>0.23996069565217393</v>
      </c>
      <c r="L10" s="5">
        <v>256</v>
      </c>
      <c r="M10" s="3">
        <f>L10*(I10/1.18)</f>
        <v>9979.6610169491523</v>
      </c>
      <c r="N10" s="3">
        <f>L10*J10</f>
        <v>2394.7264</v>
      </c>
      <c r="O10" s="4">
        <f>N10/M10</f>
        <v>0.23996069565217393</v>
      </c>
    </row>
    <row r="11" spans="1:15" ht="18" customHeight="1" x14ac:dyDescent="0.15">
      <c r="A11" t="s">
        <v>18</v>
      </c>
      <c r="B11" t="s">
        <v>18</v>
      </c>
      <c r="C11" s="6" t="s">
        <v>129</v>
      </c>
      <c r="D11" s="7" t="s">
        <v>20</v>
      </c>
      <c r="E11" s="8">
        <v>0.24</v>
      </c>
      <c r="F11" t="s">
        <v>21</v>
      </c>
      <c r="G11" s="9">
        <v>28</v>
      </c>
      <c r="H11" s="10">
        <v>6.72</v>
      </c>
      <c r="I11" t="s">
        <v>18</v>
      </c>
      <c r="J11" t="s">
        <v>18</v>
      </c>
      <c r="K11" t="s">
        <v>18</v>
      </c>
      <c r="L11" t="s">
        <v>18</v>
      </c>
      <c r="M11" t="s">
        <v>18</v>
      </c>
      <c r="N11" t="s">
        <v>18</v>
      </c>
      <c r="O11" t="s">
        <v>18</v>
      </c>
    </row>
    <row r="12" spans="1:15" ht="18" customHeight="1" x14ac:dyDescent="0.15">
      <c r="A12" t="s">
        <v>18</v>
      </c>
      <c r="B12" t="s">
        <v>18</v>
      </c>
      <c r="C12" s="6" t="s">
        <v>62</v>
      </c>
      <c r="D12" s="7" t="s">
        <v>35</v>
      </c>
      <c r="E12" s="8">
        <v>0.03</v>
      </c>
      <c r="F12" t="s">
        <v>36</v>
      </c>
      <c r="G12" s="9">
        <v>13.24</v>
      </c>
      <c r="H12" s="10">
        <v>0.3972</v>
      </c>
      <c r="I12" t="s">
        <v>18</v>
      </c>
      <c r="J12" t="s">
        <v>18</v>
      </c>
      <c r="K12" t="s">
        <v>18</v>
      </c>
      <c r="L12" t="s">
        <v>18</v>
      </c>
      <c r="M12" t="s">
        <v>18</v>
      </c>
      <c r="N12" t="s">
        <v>18</v>
      </c>
      <c r="O12" t="s">
        <v>18</v>
      </c>
    </row>
    <row r="13" spans="1:15" ht="18" customHeight="1" x14ac:dyDescent="0.15">
      <c r="A13" t="s">
        <v>18</v>
      </c>
      <c r="B13" t="s">
        <v>18</v>
      </c>
      <c r="C13" s="6" t="s">
        <v>59</v>
      </c>
      <c r="D13" s="7" t="s">
        <v>20</v>
      </c>
      <c r="E13" s="8">
        <v>0.17</v>
      </c>
      <c r="F13" t="s">
        <v>21</v>
      </c>
      <c r="G13" s="9">
        <v>13.16</v>
      </c>
      <c r="H13" s="10">
        <v>2.2372000000000001</v>
      </c>
      <c r="I13" t="s">
        <v>18</v>
      </c>
      <c r="J13" t="s">
        <v>18</v>
      </c>
      <c r="K13" t="s">
        <v>18</v>
      </c>
      <c r="L13" t="s">
        <v>18</v>
      </c>
      <c r="M13" t="s">
        <v>18</v>
      </c>
      <c r="N13" t="s">
        <v>18</v>
      </c>
      <c r="O13" t="s">
        <v>18</v>
      </c>
    </row>
    <row r="15" spans="1:15" ht="20" customHeight="1" x14ac:dyDescent="0.15">
      <c r="A15" s="2" t="s">
        <v>163</v>
      </c>
      <c r="B15" s="2" t="s">
        <v>160</v>
      </c>
      <c r="C15" s="2" t="s">
        <v>18</v>
      </c>
      <c r="D15" s="2" t="s">
        <v>18</v>
      </c>
      <c r="E15" s="2" t="s">
        <v>18</v>
      </c>
      <c r="F15" s="2" t="s">
        <v>18</v>
      </c>
      <c r="G15" s="2" t="s">
        <v>18</v>
      </c>
      <c r="H15" s="2" t="s">
        <v>18</v>
      </c>
      <c r="I15" s="3">
        <v>46</v>
      </c>
      <c r="J15" s="3">
        <v>13.2872</v>
      </c>
      <c r="K15" s="4">
        <v>0.34084556521739129</v>
      </c>
      <c r="L15" s="5">
        <v>114</v>
      </c>
      <c r="M15" s="3">
        <f>L15*(I15/1.18)</f>
        <v>4444.0677966101694</v>
      </c>
      <c r="N15" s="3">
        <f>L15*J15</f>
        <v>1514.7408</v>
      </c>
      <c r="O15" s="4">
        <f>N15/M15</f>
        <v>0.34084556521739134</v>
      </c>
    </row>
    <row r="16" spans="1:15" ht="18" customHeight="1" x14ac:dyDescent="0.15">
      <c r="A16" t="s">
        <v>18</v>
      </c>
      <c r="B16" t="s">
        <v>18</v>
      </c>
      <c r="C16" s="6" t="s">
        <v>164</v>
      </c>
      <c r="D16" s="7" t="s">
        <v>35</v>
      </c>
      <c r="E16" s="8">
        <v>0.02</v>
      </c>
      <c r="F16" t="s">
        <v>36</v>
      </c>
      <c r="G16" s="9">
        <v>19.149999999999999</v>
      </c>
      <c r="H16" s="10">
        <v>0.38300000000000001</v>
      </c>
      <c r="I16" t="s">
        <v>18</v>
      </c>
      <c r="J16" t="s">
        <v>18</v>
      </c>
      <c r="K16" t="s">
        <v>18</v>
      </c>
      <c r="L16" t="s">
        <v>18</v>
      </c>
      <c r="M16" t="s">
        <v>18</v>
      </c>
      <c r="N16" t="s">
        <v>18</v>
      </c>
      <c r="O16" t="s">
        <v>18</v>
      </c>
    </row>
    <row r="17" spans="1:15" ht="18" customHeight="1" x14ac:dyDescent="0.15">
      <c r="A17" t="s">
        <v>18</v>
      </c>
      <c r="B17" t="s">
        <v>18</v>
      </c>
      <c r="C17" s="6" t="s">
        <v>165</v>
      </c>
      <c r="D17" s="7" t="s">
        <v>35</v>
      </c>
      <c r="E17" s="8">
        <v>0.02</v>
      </c>
      <c r="F17" t="s">
        <v>36</v>
      </c>
      <c r="G17" s="9">
        <v>8.6</v>
      </c>
      <c r="H17" s="10">
        <v>0.17199999999999999</v>
      </c>
      <c r="I17" t="s">
        <v>18</v>
      </c>
      <c r="J17" t="s">
        <v>18</v>
      </c>
      <c r="K17" t="s">
        <v>18</v>
      </c>
      <c r="L17" t="s">
        <v>18</v>
      </c>
      <c r="M17" t="s">
        <v>18</v>
      </c>
      <c r="N17" t="s">
        <v>18</v>
      </c>
      <c r="O17" t="s">
        <v>18</v>
      </c>
    </row>
    <row r="18" spans="1:15" ht="18" customHeight="1" x14ac:dyDescent="0.15">
      <c r="A18" t="s">
        <v>18</v>
      </c>
      <c r="B18" t="s">
        <v>18</v>
      </c>
      <c r="C18" s="6" t="s">
        <v>61</v>
      </c>
      <c r="D18" s="7" t="s">
        <v>35</v>
      </c>
      <c r="E18" s="8">
        <v>0.01</v>
      </c>
      <c r="F18" t="s">
        <v>36</v>
      </c>
      <c r="G18" s="9">
        <v>16.52</v>
      </c>
      <c r="H18" s="10">
        <v>0.16519999999999999</v>
      </c>
      <c r="I18" t="s">
        <v>18</v>
      </c>
      <c r="J18" t="s">
        <v>18</v>
      </c>
      <c r="K18" t="s">
        <v>18</v>
      </c>
      <c r="L18" t="s">
        <v>18</v>
      </c>
      <c r="M18" t="s">
        <v>18</v>
      </c>
      <c r="N18" t="s">
        <v>18</v>
      </c>
      <c r="O18" t="s">
        <v>18</v>
      </c>
    </row>
    <row r="19" spans="1:15" ht="18" customHeight="1" x14ac:dyDescent="0.15">
      <c r="A19" t="s">
        <v>18</v>
      </c>
      <c r="B19" t="s">
        <v>18</v>
      </c>
      <c r="C19" s="6" t="s">
        <v>62</v>
      </c>
      <c r="D19" s="7" t="s">
        <v>35</v>
      </c>
      <c r="E19" s="8">
        <v>0.01</v>
      </c>
      <c r="F19" t="s">
        <v>36</v>
      </c>
      <c r="G19" s="9">
        <v>13.24</v>
      </c>
      <c r="H19" s="10">
        <v>0.13240000000000002</v>
      </c>
      <c r="I19" t="s">
        <v>18</v>
      </c>
      <c r="J19" t="s">
        <v>18</v>
      </c>
      <c r="K19" t="s">
        <v>18</v>
      </c>
      <c r="L19" t="s">
        <v>18</v>
      </c>
      <c r="M19" t="s">
        <v>18</v>
      </c>
      <c r="N19" t="s">
        <v>18</v>
      </c>
      <c r="O19" t="s">
        <v>18</v>
      </c>
    </row>
    <row r="20" spans="1:15" ht="18" customHeight="1" x14ac:dyDescent="0.15">
      <c r="A20" t="s">
        <v>18</v>
      </c>
      <c r="B20" t="s">
        <v>18</v>
      </c>
      <c r="C20" s="6" t="s">
        <v>47</v>
      </c>
      <c r="D20" s="7" t="s">
        <v>35</v>
      </c>
      <c r="E20" s="8">
        <v>0.06</v>
      </c>
      <c r="F20" t="s">
        <v>36</v>
      </c>
      <c r="G20" s="9">
        <v>28.9</v>
      </c>
      <c r="H20" s="10">
        <v>1.7339999999999998</v>
      </c>
      <c r="I20" t="s">
        <v>18</v>
      </c>
      <c r="J20" t="s">
        <v>18</v>
      </c>
      <c r="K20" t="s">
        <v>18</v>
      </c>
      <c r="L20" t="s">
        <v>18</v>
      </c>
      <c r="M20" t="s">
        <v>18</v>
      </c>
      <c r="N20" t="s">
        <v>18</v>
      </c>
      <c r="O20" t="s">
        <v>18</v>
      </c>
    </row>
    <row r="21" spans="1:15" ht="18" customHeight="1" x14ac:dyDescent="0.15">
      <c r="A21" t="s">
        <v>18</v>
      </c>
      <c r="B21" t="s">
        <v>18</v>
      </c>
      <c r="C21" s="6" t="s">
        <v>166</v>
      </c>
      <c r="D21" s="7" t="s">
        <v>20</v>
      </c>
      <c r="E21" s="8">
        <v>0.15</v>
      </c>
      <c r="F21" t="s">
        <v>21</v>
      </c>
      <c r="G21" s="9">
        <v>47</v>
      </c>
      <c r="H21" s="10">
        <v>7.05</v>
      </c>
      <c r="I21" t="s">
        <v>18</v>
      </c>
      <c r="J21" t="s">
        <v>18</v>
      </c>
      <c r="K21" t="s">
        <v>18</v>
      </c>
      <c r="L21" t="s">
        <v>18</v>
      </c>
      <c r="M21" t="s">
        <v>18</v>
      </c>
      <c r="N21" t="s">
        <v>18</v>
      </c>
      <c r="O21" t="s">
        <v>18</v>
      </c>
    </row>
    <row r="22" spans="1:15" ht="18" customHeight="1" x14ac:dyDescent="0.15">
      <c r="A22" t="s">
        <v>18</v>
      </c>
      <c r="B22" t="s">
        <v>18</v>
      </c>
      <c r="C22" s="6" t="s">
        <v>167</v>
      </c>
      <c r="D22" s="7" t="s">
        <v>35</v>
      </c>
      <c r="E22" s="8">
        <v>0.02</v>
      </c>
      <c r="F22" t="s">
        <v>36</v>
      </c>
      <c r="G22" s="9">
        <v>30.37</v>
      </c>
      <c r="H22" s="10">
        <v>0.60740000000000005</v>
      </c>
      <c r="I22" t="s">
        <v>18</v>
      </c>
      <c r="J22" t="s">
        <v>18</v>
      </c>
      <c r="K22" t="s">
        <v>18</v>
      </c>
      <c r="L22" t="s">
        <v>18</v>
      </c>
      <c r="M22" t="s">
        <v>18</v>
      </c>
      <c r="N22" t="s">
        <v>18</v>
      </c>
      <c r="O22" t="s">
        <v>18</v>
      </c>
    </row>
    <row r="23" spans="1:15" ht="18" customHeight="1" x14ac:dyDescent="0.15">
      <c r="A23" t="s">
        <v>18</v>
      </c>
      <c r="B23" t="s">
        <v>18</v>
      </c>
      <c r="C23" s="6" t="s">
        <v>161</v>
      </c>
      <c r="D23" s="7" t="s">
        <v>35</v>
      </c>
      <c r="E23" s="8">
        <v>0.16</v>
      </c>
      <c r="F23" t="s">
        <v>36</v>
      </c>
      <c r="G23" s="9">
        <v>19.02</v>
      </c>
      <c r="H23" s="10">
        <v>3.0432000000000001</v>
      </c>
      <c r="I23" t="s">
        <v>18</v>
      </c>
      <c r="J23" t="s">
        <v>18</v>
      </c>
      <c r="K23" t="s">
        <v>18</v>
      </c>
      <c r="L23" t="s">
        <v>18</v>
      </c>
      <c r="M23" t="s">
        <v>18</v>
      </c>
      <c r="N23" t="s">
        <v>18</v>
      </c>
      <c r="O23" t="s">
        <v>18</v>
      </c>
    </row>
    <row r="25" spans="1:15" ht="20" customHeight="1" x14ac:dyDescent="0.15">
      <c r="A25" s="2" t="s">
        <v>252</v>
      </c>
      <c r="B25" s="2" t="s">
        <v>160</v>
      </c>
      <c r="C25" s="2" t="s">
        <v>18</v>
      </c>
      <c r="D25" s="2" t="s">
        <v>18</v>
      </c>
      <c r="E25" s="2" t="s">
        <v>18</v>
      </c>
      <c r="F25" s="2" t="s">
        <v>18</v>
      </c>
      <c r="G25" s="2" t="s">
        <v>18</v>
      </c>
      <c r="H25" s="2" t="s">
        <v>18</v>
      </c>
      <c r="I25" s="3">
        <v>46</v>
      </c>
      <c r="J25" s="3">
        <v>9.6348000000000003</v>
      </c>
      <c r="K25" s="11">
        <v>0.24715356521739132</v>
      </c>
      <c r="L25" s="5">
        <v>159</v>
      </c>
      <c r="M25" s="3">
        <f>L25*(I25/1.18)</f>
        <v>6198.3050847457625</v>
      </c>
      <c r="N25" s="3">
        <f>L25*J25</f>
        <v>1531.9331999999999</v>
      </c>
      <c r="O25" s="4">
        <f>N25/M25</f>
        <v>0.24715356521739129</v>
      </c>
    </row>
    <row r="26" spans="1:15" ht="18" customHeight="1" x14ac:dyDescent="0.15">
      <c r="A26" t="s">
        <v>18</v>
      </c>
      <c r="B26" t="s">
        <v>18</v>
      </c>
      <c r="C26" s="6" t="s">
        <v>49</v>
      </c>
      <c r="D26" s="7" t="s">
        <v>35</v>
      </c>
      <c r="E26" s="8">
        <v>0.04</v>
      </c>
      <c r="F26" t="s">
        <v>36</v>
      </c>
      <c r="G26" s="9">
        <v>7.01</v>
      </c>
      <c r="H26" s="10">
        <v>0.28039999999999998</v>
      </c>
      <c r="I26" t="s">
        <v>18</v>
      </c>
      <c r="J26" t="s">
        <v>18</v>
      </c>
      <c r="K26" t="s">
        <v>18</v>
      </c>
      <c r="L26" t="s">
        <v>18</v>
      </c>
      <c r="M26" t="s">
        <v>18</v>
      </c>
      <c r="N26" t="s">
        <v>18</v>
      </c>
      <c r="O26" t="s">
        <v>18</v>
      </c>
    </row>
    <row r="27" spans="1:15" ht="18" customHeight="1" x14ac:dyDescent="0.15">
      <c r="A27" t="s">
        <v>18</v>
      </c>
      <c r="B27" t="s">
        <v>18</v>
      </c>
      <c r="C27" s="6" t="s">
        <v>129</v>
      </c>
      <c r="D27" s="7" t="s">
        <v>20</v>
      </c>
      <c r="E27" s="8">
        <v>0.24</v>
      </c>
      <c r="F27" t="s">
        <v>21</v>
      </c>
      <c r="G27" s="9">
        <v>28</v>
      </c>
      <c r="H27" s="10">
        <v>6.72</v>
      </c>
      <c r="I27" t="s">
        <v>18</v>
      </c>
      <c r="J27" t="s">
        <v>18</v>
      </c>
      <c r="K27" t="s">
        <v>18</v>
      </c>
      <c r="L27" t="s">
        <v>18</v>
      </c>
      <c r="M27" t="s">
        <v>18</v>
      </c>
      <c r="N27" t="s">
        <v>18</v>
      </c>
      <c r="O27" t="s">
        <v>18</v>
      </c>
    </row>
    <row r="28" spans="1:15" ht="18" customHeight="1" x14ac:dyDescent="0.15">
      <c r="A28" t="s">
        <v>18</v>
      </c>
      <c r="B28" t="s">
        <v>18</v>
      </c>
      <c r="C28" s="6" t="s">
        <v>62</v>
      </c>
      <c r="D28" s="7" t="s">
        <v>35</v>
      </c>
      <c r="E28" s="8">
        <v>0.03</v>
      </c>
      <c r="F28" t="s">
        <v>36</v>
      </c>
      <c r="G28" s="9">
        <v>13.24</v>
      </c>
      <c r="H28" s="10">
        <v>0.3972</v>
      </c>
      <c r="I28" t="s">
        <v>18</v>
      </c>
      <c r="J28" t="s">
        <v>18</v>
      </c>
      <c r="K28" t="s">
        <v>18</v>
      </c>
      <c r="L28" t="s">
        <v>18</v>
      </c>
      <c r="M28" t="s">
        <v>18</v>
      </c>
      <c r="N28" t="s">
        <v>18</v>
      </c>
      <c r="O28" t="s">
        <v>18</v>
      </c>
    </row>
    <row r="29" spans="1:15" ht="18" customHeight="1" x14ac:dyDescent="0.15">
      <c r="A29" t="s">
        <v>18</v>
      </c>
      <c r="B29" t="s">
        <v>18</v>
      </c>
      <c r="C29" s="6" t="s">
        <v>59</v>
      </c>
      <c r="D29" s="7" t="s">
        <v>20</v>
      </c>
      <c r="E29" s="8">
        <v>0.17</v>
      </c>
      <c r="F29" t="s">
        <v>21</v>
      </c>
      <c r="G29" s="9">
        <v>13.16</v>
      </c>
      <c r="H29" s="10">
        <v>2.2372000000000001</v>
      </c>
      <c r="I29" t="s">
        <v>18</v>
      </c>
      <c r="J29" t="s">
        <v>18</v>
      </c>
      <c r="K29" t="s">
        <v>18</v>
      </c>
      <c r="L29" t="s">
        <v>18</v>
      </c>
      <c r="M29" t="s">
        <v>18</v>
      </c>
      <c r="N29" t="s">
        <v>18</v>
      </c>
      <c r="O29" t="s">
        <v>18</v>
      </c>
    </row>
  </sheetData>
  <mergeCells count="1">
    <mergeCell ref="A1:O1"/>
  </mergeCells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41"/>
  <sheetViews>
    <sheetView topLeftCell="E1" workbookViewId="0">
      <pane ySplit="2" topLeftCell="A3" activePane="bottomLeft" state="frozen"/>
      <selection pane="bottomLeft" activeCell="C14" sqref="C14"/>
    </sheetView>
    <sheetView topLeftCell="A11" workbookViewId="1">
      <selection sqref="A1:O1"/>
    </sheetView>
  </sheetViews>
  <sheetFormatPr baseColWidth="10" defaultColWidth="8.83203125" defaultRowHeight="14" x14ac:dyDescent="0.15"/>
  <cols>
    <col min="1" max="1" width="28" customWidth="1"/>
    <col min="2" max="2" width="16" customWidth="1"/>
    <col min="3" max="3" width="28" customWidth="1"/>
    <col min="4" max="4" width="12" customWidth="1"/>
    <col min="5" max="6" width="8" customWidth="1"/>
    <col min="7" max="7" width="14" customWidth="1"/>
    <col min="8" max="9" width="18" customWidth="1"/>
    <col min="10" max="10" width="14" customWidth="1"/>
    <col min="11" max="12" width="10" customWidth="1"/>
    <col min="13" max="13" width="20" customWidth="1"/>
    <col min="14" max="14" width="24" customWidth="1"/>
    <col min="15" max="15" width="16" customWidth="1"/>
  </cols>
  <sheetData>
    <row r="1" spans="1:15" ht="18" customHeight="1" x14ac:dyDescent="0.15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</row>
    <row r="2" spans="1:15" ht="32" customHeight="1" x14ac:dyDescent="0.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 spans="1:15" ht="20" customHeight="1" x14ac:dyDescent="0.15">
      <c r="A3" s="2" t="s">
        <v>253</v>
      </c>
      <c r="B3" s="2" t="s">
        <v>169</v>
      </c>
      <c r="C3" s="2" t="s">
        <v>18</v>
      </c>
      <c r="D3" s="2" t="s">
        <v>18</v>
      </c>
      <c r="E3" s="2" t="s">
        <v>18</v>
      </c>
      <c r="F3" s="2" t="s">
        <v>18</v>
      </c>
      <c r="G3" s="2" t="s">
        <v>18</v>
      </c>
      <c r="H3" s="2" t="s">
        <v>18</v>
      </c>
      <c r="I3" s="3">
        <v>20</v>
      </c>
      <c r="J3" s="3">
        <v>9.8000000000000007</v>
      </c>
      <c r="K3" s="13">
        <v>0.57820000000000005</v>
      </c>
      <c r="L3" s="5">
        <v>49</v>
      </c>
      <c r="M3" s="3">
        <f>L3*(I3/1.18)</f>
        <v>830.50847457627128</v>
      </c>
      <c r="N3" s="3">
        <f>L3*J3</f>
        <v>480.20000000000005</v>
      </c>
      <c r="O3" s="4">
        <f>N3/M3</f>
        <v>0.57819999999999994</v>
      </c>
    </row>
    <row r="4" spans="1:15" ht="18" customHeight="1" x14ac:dyDescent="0.15">
      <c r="A4" t="s">
        <v>18</v>
      </c>
      <c r="B4" t="s">
        <v>18</v>
      </c>
      <c r="C4" s="6" t="s">
        <v>168</v>
      </c>
      <c r="D4" s="7" t="s">
        <v>20</v>
      </c>
      <c r="E4" s="8">
        <v>0.1</v>
      </c>
      <c r="F4" t="s">
        <v>21</v>
      </c>
      <c r="G4" s="9">
        <v>98</v>
      </c>
      <c r="H4" s="10">
        <v>9.8000000000000007</v>
      </c>
      <c r="I4" t="s">
        <v>18</v>
      </c>
      <c r="J4" t="s">
        <v>18</v>
      </c>
      <c r="K4" t="s">
        <v>18</v>
      </c>
      <c r="L4" t="s">
        <v>18</v>
      </c>
      <c r="M4" t="s">
        <v>18</v>
      </c>
      <c r="N4" t="s">
        <v>18</v>
      </c>
      <c r="O4" t="s">
        <v>18</v>
      </c>
    </row>
    <row r="6" spans="1:15" ht="20" customHeight="1" x14ac:dyDescent="0.15">
      <c r="A6" s="2" t="s">
        <v>170</v>
      </c>
      <c r="B6" s="2" t="s">
        <v>169</v>
      </c>
      <c r="C6" s="2" t="s">
        <v>18</v>
      </c>
      <c r="D6" s="2" t="s">
        <v>18</v>
      </c>
      <c r="E6" s="2" t="s">
        <v>18</v>
      </c>
      <c r="F6" s="2" t="s">
        <v>18</v>
      </c>
      <c r="G6" s="2" t="s">
        <v>18</v>
      </c>
      <c r="H6" s="2" t="s">
        <v>18</v>
      </c>
      <c r="I6" s="3">
        <v>15</v>
      </c>
      <c r="J6" s="3">
        <v>2.5988000000000002</v>
      </c>
      <c r="K6" s="11">
        <v>0.20443893333333335</v>
      </c>
      <c r="L6" s="5">
        <f>24+7</f>
        <v>31</v>
      </c>
      <c r="M6" s="3">
        <f>L6*(I6/1.18)</f>
        <v>394.06779661016947</v>
      </c>
      <c r="N6" s="3">
        <f>L6*J6</f>
        <v>80.56280000000001</v>
      </c>
      <c r="O6" s="4">
        <f>N6/M6</f>
        <v>0.20443893333333338</v>
      </c>
    </row>
    <row r="7" spans="1:15" ht="18" customHeight="1" x14ac:dyDescent="0.15">
      <c r="A7" t="s">
        <v>18</v>
      </c>
      <c r="B7" t="s">
        <v>18</v>
      </c>
      <c r="C7" s="6" t="s">
        <v>171</v>
      </c>
      <c r="D7" s="7" t="s">
        <v>35</v>
      </c>
      <c r="E7" s="8">
        <v>0.02</v>
      </c>
      <c r="F7" t="s">
        <v>36</v>
      </c>
      <c r="G7" s="9">
        <v>17.940000000000001</v>
      </c>
      <c r="H7" s="10">
        <v>0.35880000000000001</v>
      </c>
      <c r="I7" t="s">
        <v>18</v>
      </c>
      <c r="J7" t="s">
        <v>18</v>
      </c>
      <c r="K7" t="s">
        <v>18</v>
      </c>
      <c r="L7" t="s">
        <v>18</v>
      </c>
      <c r="M7" t="s">
        <v>18</v>
      </c>
      <c r="N7" t="s">
        <v>18</v>
      </c>
      <c r="O7" t="s">
        <v>18</v>
      </c>
    </row>
    <row r="8" spans="1:15" ht="18" customHeight="1" x14ac:dyDescent="0.15">
      <c r="A8" t="s">
        <v>18</v>
      </c>
      <c r="B8" t="s">
        <v>18</v>
      </c>
      <c r="C8" s="6" t="s">
        <v>129</v>
      </c>
      <c r="D8" s="7" t="s">
        <v>20</v>
      </c>
      <c r="E8" s="8">
        <v>0.08</v>
      </c>
      <c r="F8" t="s">
        <v>21</v>
      </c>
      <c r="G8" s="9">
        <v>28</v>
      </c>
      <c r="H8" s="10">
        <v>2.2400000000000002</v>
      </c>
      <c r="I8" t="s">
        <v>18</v>
      </c>
      <c r="J8" t="s">
        <v>18</v>
      </c>
      <c r="K8" t="s">
        <v>18</v>
      </c>
      <c r="L8" t="s">
        <v>18</v>
      </c>
      <c r="M8" t="s">
        <v>18</v>
      </c>
      <c r="N8" t="s">
        <v>18</v>
      </c>
      <c r="O8" t="s">
        <v>18</v>
      </c>
    </row>
    <row r="10" spans="1:15" ht="20" customHeight="1" x14ac:dyDescent="0.15">
      <c r="A10" s="2" t="s">
        <v>172</v>
      </c>
      <c r="B10" s="2" t="s">
        <v>169</v>
      </c>
      <c r="C10" s="2" t="s">
        <v>18</v>
      </c>
      <c r="D10" s="2" t="s">
        <v>18</v>
      </c>
      <c r="E10" s="2" t="s">
        <v>18</v>
      </c>
      <c r="F10" s="2" t="s">
        <v>18</v>
      </c>
      <c r="G10" s="2" t="s">
        <v>18</v>
      </c>
      <c r="H10" s="2" t="s">
        <v>18</v>
      </c>
      <c r="I10" s="3">
        <v>10</v>
      </c>
      <c r="J10" s="3">
        <v>1.34</v>
      </c>
      <c r="K10" s="11">
        <v>0.15812000000000001</v>
      </c>
      <c r="L10" s="5">
        <v>31</v>
      </c>
      <c r="M10" s="3">
        <f>L10*(I10/1.18)</f>
        <v>262.71186440677968</v>
      </c>
      <c r="N10" s="3">
        <f>L10*J10</f>
        <v>41.54</v>
      </c>
      <c r="O10" s="4">
        <f>N10/M10</f>
        <v>0.15811999999999998</v>
      </c>
    </row>
    <row r="11" spans="1:15" ht="18" customHeight="1" x14ac:dyDescent="0.15">
      <c r="A11" t="s">
        <v>18</v>
      </c>
      <c r="B11" t="s">
        <v>18</v>
      </c>
      <c r="C11" s="6" t="s">
        <v>154</v>
      </c>
      <c r="D11" s="7" t="s">
        <v>20</v>
      </c>
      <c r="E11" s="8">
        <v>0.05</v>
      </c>
      <c r="F11" t="s">
        <v>21</v>
      </c>
      <c r="G11" s="9">
        <v>26.8</v>
      </c>
      <c r="H11" s="10">
        <v>1.34</v>
      </c>
      <c r="I11" t="s">
        <v>18</v>
      </c>
      <c r="J11" t="s">
        <v>18</v>
      </c>
      <c r="K11" t="s">
        <v>18</v>
      </c>
      <c r="L11" t="s">
        <v>18</v>
      </c>
      <c r="M11" t="s">
        <v>18</v>
      </c>
      <c r="N11" t="s">
        <v>18</v>
      </c>
      <c r="O11" t="s">
        <v>18</v>
      </c>
    </row>
    <row r="13" spans="1:15" ht="20" customHeight="1" x14ac:dyDescent="0.15">
      <c r="A13" s="2" t="s">
        <v>254</v>
      </c>
      <c r="B13" s="2" t="s">
        <v>169</v>
      </c>
      <c r="C13" s="2" t="s">
        <v>18</v>
      </c>
      <c r="D13" s="2" t="s">
        <v>18</v>
      </c>
      <c r="E13" s="2" t="s">
        <v>18</v>
      </c>
      <c r="F13" s="2" t="s">
        <v>18</v>
      </c>
      <c r="G13" s="2" t="s">
        <v>18</v>
      </c>
      <c r="H13" s="2" t="s">
        <v>18</v>
      </c>
      <c r="I13" s="3">
        <v>8</v>
      </c>
      <c r="J13" s="3">
        <v>0.59219999999999995</v>
      </c>
      <c r="K13" s="11">
        <v>8.7349499999999983E-2</v>
      </c>
      <c r="L13" s="5">
        <v>8</v>
      </c>
      <c r="M13" s="3">
        <f>L13*(I13/1.18)</f>
        <v>54.237288135593225</v>
      </c>
      <c r="N13" s="3">
        <f>L13*J13</f>
        <v>4.7375999999999996</v>
      </c>
      <c r="O13" s="4">
        <f>N13/M13</f>
        <v>8.7349499999999983E-2</v>
      </c>
    </row>
    <row r="14" spans="1:15" ht="18" customHeight="1" x14ac:dyDescent="0.15">
      <c r="A14" t="s">
        <v>18</v>
      </c>
      <c r="B14" t="s">
        <v>18</v>
      </c>
      <c r="C14" s="6" t="s">
        <v>173</v>
      </c>
      <c r="D14" s="7" t="s">
        <v>35</v>
      </c>
      <c r="E14" s="8">
        <v>0.03</v>
      </c>
      <c r="F14" t="s">
        <v>36</v>
      </c>
      <c r="G14" s="9">
        <v>19.739999999999998</v>
      </c>
      <c r="H14" s="10">
        <v>0.59219999999999995</v>
      </c>
      <c r="I14" t="s">
        <v>18</v>
      </c>
      <c r="J14" t="s">
        <v>18</v>
      </c>
      <c r="K14" t="s">
        <v>18</v>
      </c>
      <c r="L14" t="s">
        <v>18</v>
      </c>
      <c r="M14" t="s">
        <v>18</v>
      </c>
      <c r="N14" t="s">
        <v>18</v>
      </c>
      <c r="O14" t="s">
        <v>18</v>
      </c>
    </row>
    <row r="16" spans="1:15" ht="20" customHeight="1" x14ac:dyDescent="0.15">
      <c r="A16" s="2" t="s">
        <v>165</v>
      </c>
      <c r="B16" s="2" t="s">
        <v>169</v>
      </c>
      <c r="C16" s="2" t="s">
        <v>18</v>
      </c>
      <c r="D16" s="2" t="s">
        <v>18</v>
      </c>
      <c r="E16" s="2" t="s">
        <v>18</v>
      </c>
      <c r="F16" s="2" t="s">
        <v>18</v>
      </c>
      <c r="G16" s="2" t="s">
        <v>18</v>
      </c>
      <c r="H16" s="2" t="s">
        <v>18</v>
      </c>
      <c r="I16" s="3">
        <v>8</v>
      </c>
      <c r="J16" s="3">
        <v>0.43</v>
      </c>
      <c r="K16" s="11">
        <v>6.3424999999999995E-2</v>
      </c>
      <c r="L16" s="5">
        <v>113</v>
      </c>
      <c r="M16" s="3">
        <f>L16*(I16/1.18)</f>
        <v>766.10169491525426</v>
      </c>
      <c r="N16" s="3">
        <f>L16*J16</f>
        <v>48.589999999999996</v>
      </c>
      <c r="O16" s="4">
        <f>N16/M16</f>
        <v>6.3424999999999995E-2</v>
      </c>
    </row>
    <row r="17" spans="1:15" ht="18" customHeight="1" x14ac:dyDescent="0.15">
      <c r="A17" t="s">
        <v>18</v>
      </c>
      <c r="B17" t="s">
        <v>18</v>
      </c>
      <c r="C17" s="6" t="s">
        <v>165</v>
      </c>
      <c r="D17" s="7" t="s">
        <v>35</v>
      </c>
      <c r="E17" s="8">
        <v>0.05</v>
      </c>
      <c r="F17" t="s">
        <v>36</v>
      </c>
      <c r="G17" s="9">
        <v>8.6</v>
      </c>
      <c r="H17" s="10">
        <v>0.43</v>
      </c>
      <c r="I17" t="s">
        <v>18</v>
      </c>
      <c r="J17" t="s">
        <v>18</v>
      </c>
      <c r="K17" t="s">
        <v>18</v>
      </c>
      <c r="L17" t="s">
        <v>18</v>
      </c>
      <c r="M17" t="s">
        <v>18</v>
      </c>
      <c r="N17" t="s">
        <v>18</v>
      </c>
      <c r="O17" t="s">
        <v>18</v>
      </c>
    </row>
    <row r="19" spans="1:15" ht="20" customHeight="1" x14ac:dyDescent="0.15">
      <c r="A19" s="2" t="s">
        <v>255</v>
      </c>
      <c r="B19" s="2" t="s">
        <v>169</v>
      </c>
      <c r="C19" s="2" t="s">
        <v>18</v>
      </c>
      <c r="D19" s="2" t="s">
        <v>18</v>
      </c>
      <c r="E19" s="2" t="s">
        <v>18</v>
      </c>
      <c r="F19" s="2" t="s">
        <v>18</v>
      </c>
      <c r="G19" s="2" t="s">
        <v>18</v>
      </c>
      <c r="H19" s="2" t="s">
        <v>18</v>
      </c>
      <c r="I19" s="3">
        <v>8</v>
      </c>
      <c r="J19" s="3">
        <v>0.2505</v>
      </c>
      <c r="K19" s="11">
        <v>3.6948749999999995E-2</v>
      </c>
      <c r="L19" s="5">
        <f>21+255</f>
        <v>276</v>
      </c>
      <c r="M19" s="3">
        <f>L19*(I19/1.18)</f>
        <v>1871.1864406779662</v>
      </c>
      <c r="N19" s="3">
        <f>L19*J19</f>
        <v>69.138000000000005</v>
      </c>
      <c r="O19" s="4">
        <f>N19/M19</f>
        <v>3.6948750000000002E-2</v>
      </c>
    </row>
    <row r="20" spans="1:15" ht="18" customHeight="1" x14ac:dyDescent="0.15">
      <c r="A20" t="s">
        <v>18</v>
      </c>
      <c r="B20" t="s">
        <v>18</v>
      </c>
      <c r="C20" s="6" t="s">
        <v>176</v>
      </c>
      <c r="D20" s="7" t="s">
        <v>35</v>
      </c>
      <c r="E20" s="8">
        <v>0.03</v>
      </c>
      <c r="F20" t="s">
        <v>36</v>
      </c>
      <c r="G20" s="9">
        <v>8.35</v>
      </c>
      <c r="H20" s="10">
        <v>0.2505</v>
      </c>
      <c r="I20" t="s">
        <v>18</v>
      </c>
      <c r="J20" t="s">
        <v>18</v>
      </c>
      <c r="K20" t="s">
        <v>18</v>
      </c>
      <c r="L20" t="s">
        <v>18</v>
      </c>
      <c r="M20" t="s">
        <v>18</v>
      </c>
      <c r="N20" t="s">
        <v>18</v>
      </c>
      <c r="O20" t="s">
        <v>18</v>
      </c>
    </row>
    <row r="22" spans="1:15" ht="20" customHeight="1" x14ac:dyDescent="0.15">
      <c r="A22" s="2" t="s">
        <v>61</v>
      </c>
      <c r="B22" s="2" t="s">
        <v>169</v>
      </c>
      <c r="C22" s="2" t="s">
        <v>18</v>
      </c>
      <c r="D22" s="2" t="s">
        <v>18</v>
      </c>
      <c r="E22" s="2" t="s">
        <v>18</v>
      </c>
      <c r="F22" s="2" t="s">
        <v>18</v>
      </c>
      <c r="G22" s="2" t="s">
        <v>18</v>
      </c>
      <c r="H22" s="2" t="s">
        <v>18</v>
      </c>
      <c r="I22" s="3">
        <v>7</v>
      </c>
      <c r="J22" s="3">
        <v>0.49559999999999998</v>
      </c>
      <c r="K22" s="11">
        <v>8.3544000000000007E-2</v>
      </c>
      <c r="L22" s="5">
        <v>22</v>
      </c>
      <c r="M22" s="3">
        <f>L22*(I22/1.18)</f>
        <v>130.5084745762712</v>
      </c>
      <c r="N22" s="3">
        <f>L22*J22</f>
        <v>10.9032</v>
      </c>
      <c r="O22" s="4">
        <f>N22/M22</f>
        <v>8.3543999999999993E-2</v>
      </c>
    </row>
    <row r="23" spans="1:15" ht="18" customHeight="1" x14ac:dyDescent="0.15">
      <c r="A23" t="s">
        <v>18</v>
      </c>
      <c r="B23" t="s">
        <v>18</v>
      </c>
      <c r="C23" s="6" t="s">
        <v>61</v>
      </c>
      <c r="D23" s="7" t="s">
        <v>35</v>
      </c>
      <c r="E23" s="8">
        <v>0.03</v>
      </c>
      <c r="F23" t="s">
        <v>36</v>
      </c>
      <c r="G23" s="9">
        <v>16.52</v>
      </c>
      <c r="H23" s="10">
        <v>0.49559999999999998</v>
      </c>
      <c r="I23" t="s">
        <v>18</v>
      </c>
      <c r="J23" t="s">
        <v>18</v>
      </c>
      <c r="K23" t="s">
        <v>18</v>
      </c>
      <c r="L23" t="s">
        <v>18</v>
      </c>
      <c r="M23" t="s">
        <v>18</v>
      </c>
      <c r="N23" t="s">
        <v>18</v>
      </c>
      <c r="O23" t="s">
        <v>18</v>
      </c>
    </row>
    <row r="25" spans="1:15" ht="20" customHeight="1" x14ac:dyDescent="0.15">
      <c r="A25" s="2" t="s">
        <v>177</v>
      </c>
      <c r="B25" s="2" t="s">
        <v>169</v>
      </c>
      <c r="C25" s="2" t="s">
        <v>18</v>
      </c>
      <c r="D25" s="2" t="s">
        <v>18</v>
      </c>
      <c r="E25" s="2" t="s">
        <v>18</v>
      </c>
      <c r="F25" s="2" t="s">
        <v>18</v>
      </c>
      <c r="G25" s="2" t="s">
        <v>18</v>
      </c>
      <c r="H25" s="2" t="s">
        <v>18</v>
      </c>
      <c r="I25" s="3">
        <v>15</v>
      </c>
      <c r="J25" s="3">
        <v>2.5</v>
      </c>
      <c r="K25" s="11">
        <v>0.19666666666666666</v>
      </c>
      <c r="L25" s="5">
        <v>15</v>
      </c>
      <c r="M25" s="3">
        <f>L25*(I25/1.18)</f>
        <v>190.67796610169492</v>
      </c>
      <c r="N25" s="3">
        <f>L25*J25</f>
        <v>37.5</v>
      </c>
      <c r="O25" s="4">
        <f>N25/M25</f>
        <v>0.19666666666666666</v>
      </c>
    </row>
    <row r="26" spans="1:15" ht="18" customHeight="1" x14ac:dyDescent="0.15">
      <c r="A26" t="s">
        <v>18</v>
      </c>
      <c r="B26" t="s">
        <v>18</v>
      </c>
      <c r="C26" s="6" t="s">
        <v>178</v>
      </c>
      <c r="D26" s="7" t="s">
        <v>20</v>
      </c>
      <c r="E26" s="8">
        <v>0.05</v>
      </c>
      <c r="F26" t="s">
        <v>21</v>
      </c>
      <c r="G26" s="9">
        <v>50</v>
      </c>
      <c r="H26" s="10">
        <v>2.5</v>
      </c>
      <c r="I26" t="s">
        <v>18</v>
      </c>
      <c r="J26" t="s">
        <v>18</v>
      </c>
      <c r="K26" t="s">
        <v>18</v>
      </c>
      <c r="L26" t="s">
        <v>18</v>
      </c>
      <c r="M26" t="s">
        <v>18</v>
      </c>
      <c r="N26" t="s">
        <v>18</v>
      </c>
      <c r="O26" t="s">
        <v>18</v>
      </c>
    </row>
    <row r="28" spans="1:15" ht="20" customHeight="1" x14ac:dyDescent="0.15">
      <c r="A28" s="2" t="s">
        <v>256</v>
      </c>
      <c r="B28" s="2" t="s">
        <v>169</v>
      </c>
      <c r="C28" s="2" t="s">
        <v>18</v>
      </c>
      <c r="D28" s="2" t="s">
        <v>18</v>
      </c>
      <c r="E28" s="2" t="s">
        <v>18</v>
      </c>
      <c r="F28" s="2" t="s">
        <v>18</v>
      </c>
      <c r="G28" s="2" t="s">
        <v>18</v>
      </c>
      <c r="H28" s="2" t="s">
        <v>18</v>
      </c>
      <c r="I28" s="3">
        <v>7</v>
      </c>
      <c r="J28" s="3">
        <v>0.69400000000000006</v>
      </c>
      <c r="K28" s="11">
        <v>0.11698857142857143</v>
      </c>
      <c r="L28" s="5">
        <v>25</v>
      </c>
      <c r="M28" s="3">
        <f>L28*(I28/1.18)</f>
        <v>148.30508474576271</v>
      </c>
      <c r="N28" s="3">
        <f>L28*J28</f>
        <v>17.350000000000001</v>
      </c>
      <c r="O28" s="4">
        <f>N28/M28</f>
        <v>0.11698857142857144</v>
      </c>
    </row>
    <row r="29" spans="1:15" ht="18" customHeight="1" x14ac:dyDescent="0.15">
      <c r="A29" t="s">
        <v>18</v>
      </c>
      <c r="B29" t="s">
        <v>18</v>
      </c>
      <c r="C29" s="6" t="s">
        <v>179</v>
      </c>
      <c r="D29" s="7" t="s">
        <v>20</v>
      </c>
      <c r="E29" s="8">
        <v>0.1</v>
      </c>
      <c r="F29" t="s">
        <v>27</v>
      </c>
      <c r="G29" s="9">
        <v>6.94</v>
      </c>
      <c r="H29" s="10">
        <v>0.69400000000000006</v>
      </c>
      <c r="I29" t="s">
        <v>18</v>
      </c>
      <c r="J29" t="s">
        <v>18</v>
      </c>
      <c r="K29" t="s">
        <v>18</v>
      </c>
      <c r="L29" t="s">
        <v>18</v>
      </c>
      <c r="M29" t="s">
        <v>18</v>
      </c>
      <c r="N29" t="s">
        <v>18</v>
      </c>
      <c r="O29" t="s">
        <v>18</v>
      </c>
    </row>
    <row r="31" spans="1:15" ht="20" customHeight="1" x14ac:dyDescent="0.15">
      <c r="A31" s="2" t="s">
        <v>180</v>
      </c>
      <c r="B31" s="2" t="s">
        <v>169</v>
      </c>
      <c r="C31" s="2" t="s">
        <v>18</v>
      </c>
      <c r="D31" s="2" t="s">
        <v>18</v>
      </c>
      <c r="E31" s="2" t="s">
        <v>18</v>
      </c>
      <c r="F31" s="2" t="s">
        <v>18</v>
      </c>
      <c r="G31" s="2" t="s">
        <v>18</v>
      </c>
      <c r="H31" s="2" t="s">
        <v>18</v>
      </c>
      <c r="I31" s="3">
        <v>8</v>
      </c>
      <c r="J31" s="3">
        <v>0.95</v>
      </c>
      <c r="K31" s="11">
        <v>0.14012499999999997</v>
      </c>
      <c r="L31" s="5">
        <v>20</v>
      </c>
      <c r="M31" s="3">
        <f>L31*(I31/1.18)</f>
        <v>135.59322033898306</v>
      </c>
      <c r="N31" s="3">
        <f>L31*J31</f>
        <v>19</v>
      </c>
      <c r="O31" s="4">
        <f>N31/M31</f>
        <v>0.140125</v>
      </c>
    </row>
    <row r="32" spans="1:15" ht="18" customHeight="1" x14ac:dyDescent="0.15">
      <c r="A32" t="s">
        <v>18</v>
      </c>
      <c r="B32" t="s">
        <v>18</v>
      </c>
      <c r="C32" s="6" t="s">
        <v>181</v>
      </c>
      <c r="D32" s="7" t="s">
        <v>20</v>
      </c>
      <c r="E32" s="8">
        <v>1</v>
      </c>
      <c r="F32" t="s">
        <v>27</v>
      </c>
      <c r="G32" s="9">
        <v>0.95</v>
      </c>
      <c r="H32" s="10">
        <v>0.95</v>
      </c>
      <c r="I32" t="s">
        <v>18</v>
      </c>
      <c r="J32" t="s">
        <v>18</v>
      </c>
      <c r="K32" t="s">
        <v>18</v>
      </c>
      <c r="L32" t="s">
        <v>18</v>
      </c>
      <c r="M32" t="s">
        <v>18</v>
      </c>
      <c r="N32" t="s">
        <v>18</v>
      </c>
      <c r="O32" t="s">
        <v>18</v>
      </c>
    </row>
    <row r="34" spans="1:15" ht="20" customHeight="1" x14ac:dyDescent="0.15">
      <c r="A34" s="2" t="s">
        <v>182</v>
      </c>
      <c r="B34" s="2" t="s">
        <v>169</v>
      </c>
      <c r="C34" s="2" t="s">
        <v>18</v>
      </c>
      <c r="D34" s="2" t="s">
        <v>18</v>
      </c>
      <c r="E34" s="2" t="s">
        <v>18</v>
      </c>
      <c r="F34" s="2" t="s">
        <v>18</v>
      </c>
      <c r="G34" s="2" t="s">
        <v>18</v>
      </c>
      <c r="H34" s="2" t="s">
        <v>18</v>
      </c>
      <c r="I34" s="3">
        <v>8</v>
      </c>
      <c r="J34" s="3">
        <v>0.87</v>
      </c>
      <c r="K34" s="11">
        <v>0.12832499999999999</v>
      </c>
      <c r="L34" s="5">
        <v>350</v>
      </c>
      <c r="M34" s="3">
        <f>L34*(I34/1.18)</f>
        <v>2372.8813559322034</v>
      </c>
      <c r="N34" s="3">
        <f>L34*J34</f>
        <v>304.5</v>
      </c>
      <c r="O34" s="4">
        <f>N34/M34</f>
        <v>0.12832499999999999</v>
      </c>
    </row>
    <row r="35" spans="1:15" ht="18" customHeight="1" x14ac:dyDescent="0.15">
      <c r="A35" t="s">
        <v>18</v>
      </c>
      <c r="B35" t="s">
        <v>18</v>
      </c>
      <c r="C35" s="6" t="s">
        <v>140</v>
      </c>
      <c r="D35" s="7" t="s">
        <v>20</v>
      </c>
      <c r="E35" s="8">
        <v>0.03</v>
      </c>
      <c r="F35" t="s">
        <v>21</v>
      </c>
      <c r="G35" s="9">
        <v>29</v>
      </c>
      <c r="H35" s="10">
        <v>0.87</v>
      </c>
      <c r="I35" t="s">
        <v>18</v>
      </c>
      <c r="J35" t="s">
        <v>18</v>
      </c>
      <c r="K35" t="s">
        <v>18</v>
      </c>
      <c r="L35" t="s">
        <v>18</v>
      </c>
      <c r="M35" t="s">
        <v>18</v>
      </c>
      <c r="N35" t="s">
        <v>18</v>
      </c>
      <c r="O35" t="s">
        <v>18</v>
      </c>
    </row>
    <row r="37" spans="1:15" ht="20" customHeight="1" x14ac:dyDescent="0.15">
      <c r="A37" s="2" t="s">
        <v>183</v>
      </c>
      <c r="B37" s="2" t="s">
        <v>169</v>
      </c>
      <c r="C37" s="2" t="s">
        <v>18</v>
      </c>
      <c r="D37" s="2" t="s">
        <v>18</v>
      </c>
      <c r="E37" s="2" t="s">
        <v>18</v>
      </c>
      <c r="F37" s="2" t="s">
        <v>18</v>
      </c>
      <c r="G37" s="2" t="s">
        <v>18</v>
      </c>
      <c r="H37" s="2" t="s">
        <v>18</v>
      </c>
      <c r="I37" s="3">
        <v>8</v>
      </c>
      <c r="J37" s="3">
        <v>1.3499999999999999</v>
      </c>
      <c r="K37" s="11">
        <v>0.19912499999999997</v>
      </c>
      <c r="L37" s="5">
        <v>1912</v>
      </c>
      <c r="M37" s="3">
        <f>L37*(I37/1.18)</f>
        <v>12962.711864406781</v>
      </c>
      <c r="N37" s="3">
        <f>L37*J37</f>
        <v>2581.1999999999998</v>
      </c>
      <c r="O37" s="4">
        <f>N37/M37</f>
        <v>0.19912499999999997</v>
      </c>
    </row>
    <row r="38" spans="1:15" ht="18" customHeight="1" x14ac:dyDescent="0.15">
      <c r="A38" t="s">
        <v>18</v>
      </c>
      <c r="B38" t="s">
        <v>18</v>
      </c>
      <c r="C38" s="6" t="s">
        <v>184</v>
      </c>
      <c r="D38" s="7" t="s">
        <v>20</v>
      </c>
      <c r="E38" s="8">
        <v>0.03</v>
      </c>
      <c r="F38" t="s">
        <v>21</v>
      </c>
      <c r="G38" s="9">
        <v>45</v>
      </c>
      <c r="H38" s="10">
        <v>1.3499999999999999</v>
      </c>
      <c r="I38" t="s">
        <v>18</v>
      </c>
      <c r="J38" t="s">
        <v>18</v>
      </c>
      <c r="K38" t="s">
        <v>18</v>
      </c>
      <c r="L38" t="s">
        <v>18</v>
      </c>
      <c r="M38" t="s">
        <v>18</v>
      </c>
      <c r="N38" t="s">
        <v>18</v>
      </c>
      <c r="O38" t="s">
        <v>18</v>
      </c>
    </row>
    <row r="40" spans="1:15" ht="20" customHeight="1" x14ac:dyDescent="0.15">
      <c r="A40" s="2" t="s">
        <v>185</v>
      </c>
      <c r="B40" s="2" t="s">
        <v>169</v>
      </c>
      <c r="C40" s="2" t="s">
        <v>18</v>
      </c>
      <c r="D40" s="2" t="s">
        <v>18</v>
      </c>
      <c r="E40" s="2" t="s">
        <v>18</v>
      </c>
      <c r="F40" s="2" t="s">
        <v>18</v>
      </c>
      <c r="G40" s="2" t="s">
        <v>18</v>
      </c>
      <c r="H40" s="2" t="s">
        <v>18</v>
      </c>
      <c r="I40" s="3">
        <v>7</v>
      </c>
      <c r="J40" s="3">
        <v>1.3039639999999999</v>
      </c>
      <c r="K40" s="11">
        <v>0.21981107428571428</v>
      </c>
      <c r="L40" s="5">
        <v>74</v>
      </c>
      <c r="M40" s="3">
        <f>L40*(I40/1.18)</f>
        <v>438.98305084745766</v>
      </c>
      <c r="N40" s="3">
        <f>L40*J40</f>
        <v>96.493335999999999</v>
      </c>
      <c r="O40" s="4">
        <f>N40/M40</f>
        <v>0.21981107428571425</v>
      </c>
    </row>
    <row r="41" spans="1:15" ht="18" customHeight="1" x14ac:dyDescent="0.15">
      <c r="A41" t="s">
        <v>18</v>
      </c>
      <c r="B41" t="s">
        <v>18</v>
      </c>
      <c r="C41" s="6" t="s">
        <v>186</v>
      </c>
      <c r="D41" s="7" t="s">
        <v>20</v>
      </c>
      <c r="E41" s="8">
        <v>0.05</v>
      </c>
      <c r="F41" t="s">
        <v>21</v>
      </c>
      <c r="G41" s="9">
        <v>26.079279999999997</v>
      </c>
      <c r="H41" s="10">
        <v>1.3039639999999999</v>
      </c>
      <c r="I41" t="s">
        <v>18</v>
      </c>
      <c r="J41" t="s">
        <v>18</v>
      </c>
      <c r="K41" t="s">
        <v>18</v>
      </c>
      <c r="L41" t="s">
        <v>18</v>
      </c>
      <c r="M41" t="s">
        <v>18</v>
      </c>
      <c r="N41" t="s">
        <v>18</v>
      </c>
      <c r="O41" t="s">
        <v>18</v>
      </c>
    </row>
  </sheetData>
  <mergeCells count="1">
    <mergeCell ref="A1:O1"/>
  </mergeCells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125"/>
  <sheetViews>
    <sheetView zoomScale="70" zoomScaleNormal="70" workbookViewId="0">
      <pane ySplit="2" topLeftCell="A93" activePane="bottomLeft" state="frozen"/>
      <selection pane="bottomLeft" activeCell="J131" sqref="J131"/>
    </sheetView>
    <sheetView topLeftCell="I115" workbookViewId="1">
      <selection sqref="A1:O1"/>
    </sheetView>
  </sheetViews>
  <sheetFormatPr baseColWidth="10" defaultColWidth="8.83203125" defaultRowHeight="14" x14ac:dyDescent="0.15"/>
  <cols>
    <col min="1" max="1" width="28" customWidth="1"/>
    <col min="2" max="2" width="16" customWidth="1"/>
    <col min="3" max="3" width="28" customWidth="1"/>
    <col min="4" max="4" width="12" customWidth="1"/>
    <col min="5" max="6" width="8" customWidth="1"/>
    <col min="7" max="7" width="14" customWidth="1"/>
    <col min="8" max="9" width="18" customWidth="1"/>
    <col min="10" max="10" width="14" customWidth="1"/>
    <col min="11" max="12" width="10" customWidth="1"/>
    <col min="13" max="13" width="20" customWidth="1"/>
    <col min="14" max="14" width="24" customWidth="1"/>
    <col min="15" max="15" width="16" customWidth="1"/>
  </cols>
  <sheetData>
    <row r="1" spans="1:15" ht="18" customHeight="1" x14ac:dyDescent="0.15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</row>
    <row r="2" spans="1:15" ht="32" customHeight="1" x14ac:dyDescent="0.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 spans="1:15" ht="20" customHeight="1" x14ac:dyDescent="0.15">
      <c r="A3" s="2" t="s">
        <v>187</v>
      </c>
      <c r="B3" s="2" t="s">
        <v>188</v>
      </c>
      <c r="C3" s="2" t="s">
        <v>18</v>
      </c>
      <c r="D3" s="2" t="s">
        <v>18</v>
      </c>
      <c r="E3" s="2" t="s">
        <v>18</v>
      </c>
      <c r="F3" s="2" t="s">
        <v>18</v>
      </c>
      <c r="G3" s="2" t="s">
        <v>18</v>
      </c>
      <c r="H3" s="2" t="s">
        <v>18</v>
      </c>
      <c r="I3" s="3">
        <v>27</v>
      </c>
      <c r="J3" s="3">
        <v>5.6842821869488542</v>
      </c>
      <c r="K3" s="11">
        <v>0.24842418446665362</v>
      </c>
      <c r="L3" s="5">
        <v>873</v>
      </c>
      <c r="M3" s="3">
        <f>L3*(I3/1.18)</f>
        <v>19975.423728813559</v>
      </c>
      <c r="N3" s="3">
        <f>L3*J3</f>
        <v>4962.3783492063494</v>
      </c>
      <c r="O3" s="4">
        <f>N3/M3</f>
        <v>0.24842418446665362</v>
      </c>
    </row>
    <row r="4" spans="1:15" ht="18" customHeight="1" x14ac:dyDescent="0.15">
      <c r="A4" t="s">
        <v>18</v>
      </c>
      <c r="B4" t="s">
        <v>18</v>
      </c>
      <c r="C4" s="6" t="s">
        <v>52</v>
      </c>
      <c r="D4" s="7" t="s">
        <v>20</v>
      </c>
      <c r="E4" s="8">
        <v>0.01</v>
      </c>
      <c r="F4" t="s">
        <v>21</v>
      </c>
      <c r="G4" s="9">
        <v>52</v>
      </c>
      <c r="H4" s="10">
        <v>0.52</v>
      </c>
      <c r="I4" t="s">
        <v>18</v>
      </c>
      <c r="J4" t="s">
        <v>18</v>
      </c>
      <c r="K4" t="s">
        <v>18</v>
      </c>
      <c r="L4" t="s">
        <v>18</v>
      </c>
      <c r="M4" t="s">
        <v>18</v>
      </c>
      <c r="N4" t="s">
        <v>18</v>
      </c>
      <c r="O4" t="s">
        <v>18</v>
      </c>
    </row>
    <row r="5" spans="1:15" ht="18" customHeight="1" x14ac:dyDescent="0.15">
      <c r="A5" t="s">
        <v>18</v>
      </c>
      <c r="B5" t="s">
        <v>18</v>
      </c>
      <c r="C5" s="6" t="s">
        <v>156</v>
      </c>
      <c r="D5" s="7" t="s">
        <v>35</v>
      </c>
      <c r="E5" s="8">
        <v>0.4</v>
      </c>
      <c r="F5" t="s">
        <v>36</v>
      </c>
      <c r="G5" s="9">
        <v>10.61</v>
      </c>
      <c r="H5" s="10">
        <v>4.2439999999999998</v>
      </c>
      <c r="I5" t="s">
        <v>18</v>
      </c>
      <c r="J5" t="s">
        <v>18</v>
      </c>
      <c r="K5" t="s">
        <v>18</v>
      </c>
      <c r="L5" t="s">
        <v>18</v>
      </c>
      <c r="M5" t="s">
        <v>18</v>
      </c>
      <c r="N5" t="s">
        <v>18</v>
      </c>
      <c r="O5" t="s">
        <v>18</v>
      </c>
    </row>
    <row r="6" spans="1:15" ht="18" customHeight="1" x14ac:dyDescent="0.15">
      <c r="A6" t="s">
        <v>18</v>
      </c>
      <c r="B6" t="s">
        <v>18</v>
      </c>
      <c r="C6" s="6" t="s">
        <v>157</v>
      </c>
      <c r="D6" s="7" t="s">
        <v>20</v>
      </c>
      <c r="E6" s="8">
        <v>0.01</v>
      </c>
      <c r="F6" t="s">
        <v>21</v>
      </c>
      <c r="G6" s="9">
        <v>22.028218694885364</v>
      </c>
      <c r="H6" s="10">
        <v>0.22028218694885365</v>
      </c>
      <c r="I6" t="s">
        <v>18</v>
      </c>
      <c r="J6" t="s">
        <v>18</v>
      </c>
      <c r="K6" t="s">
        <v>18</v>
      </c>
      <c r="L6" t="s">
        <v>18</v>
      </c>
      <c r="M6" t="s">
        <v>18</v>
      </c>
      <c r="N6" t="s">
        <v>18</v>
      </c>
      <c r="O6" t="s">
        <v>18</v>
      </c>
    </row>
    <row r="7" spans="1:15" ht="18" customHeight="1" x14ac:dyDescent="0.15">
      <c r="A7" t="s">
        <v>18</v>
      </c>
      <c r="B7" t="s">
        <v>18</v>
      </c>
      <c r="C7" s="6" t="s">
        <v>30</v>
      </c>
      <c r="D7" s="7" t="s">
        <v>31</v>
      </c>
      <c r="E7" s="8">
        <v>1</v>
      </c>
      <c r="F7" t="s">
        <v>32</v>
      </c>
      <c r="G7" s="9">
        <v>0.7</v>
      </c>
      <c r="H7" s="10">
        <v>0.7</v>
      </c>
      <c r="I7" t="s">
        <v>18</v>
      </c>
      <c r="J7" t="s">
        <v>18</v>
      </c>
      <c r="K7" t="s">
        <v>18</v>
      </c>
      <c r="L7" t="s">
        <v>18</v>
      </c>
      <c r="M7" t="s">
        <v>18</v>
      </c>
      <c r="N7" t="s">
        <v>18</v>
      </c>
      <c r="O7" t="s">
        <v>18</v>
      </c>
    </row>
    <row r="9" spans="1:15" ht="20" customHeight="1" x14ac:dyDescent="0.15">
      <c r="A9" s="2" t="s">
        <v>189</v>
      </c>
      <c r="B9" s="2" t="s">
        <v>188</v>
      </c>
      <c r="C9" s="2" t="s">
        <v>18</v>
      </c>
      <c r="D9" s="2" t="s">
        <v>18</v>
      </c>
      <c r="E9" s="2" t="s">
        <v>18</v>
      </c>
      <c r="F9" s="2" t="s">
        <v>18</v>
      </c>
      <c r="G9" s="2" t="s">
        <v>18</v>
      </c>
      <c r="H9" s="2" t="s">
        <v>18</v>
      </c>
      <c r="I9" s="3">
        <v>32</v>
      </c>
      <c r="J9" s="3">
        <f>SUM(H10:H19)</f>
        <v>6.5224000000000002</v>
      </c>
      <c r="K9" s="11">
        <f>J9/(I9/1.18)</f>
        <v>0.24051349999999999</v>
      </c>
      <c r="L9" s="5">
        <v>163</v>
      </c>
      <c r="M9" s="3">
        <f>L9*(I9/1.18)</f>
        <v>4420.3389830508477</v>
      </c>
      <c r="N9" s="3">
        <f>L9*J9</f>
        <v>1063.1512</v>
      </c>
      <c r="O9" s="4">
        <f>N9/M9</f>
        <v>0.24051349999999999</v>
      </c>
    </row>
    <row r="10" spans="1:15" ht="18" customHeight="1" x14ac:dyDescent="0.15">
      <c r="A10" t="s">
        <v>18</v>
      </c>
      <c r="B10" t="s">
        <v>18</v>
      </c>
      <c r="C10" s="6" t="s">
        <v>150</v>
      </c>
      <c r="D10" s="7" t="s">
        <v>35</v>
      </c>
      <c r="E10" s="8">
        <v>0.12</v>
      </c>
      <c r="F10" t="s">
        <v>36</v>
      </c>
      <c r="G10" s="9">
        <v>15.74</v>
      </c>
      <c r="H10" s="10">
        <f>G10*E10</f>
        <v>1.8888</v>
      </c>
      <c r="I10" t="s">
        <v>18</v>
      </c>
      <c r="J10" t="s">
        <v>18</v>
      </c>
      <c r="K10" t="s">
        <v>18</v>
      </c>
      <c r="L10" t="s">
        <v>18</v>
      </c>
      <c r="M10" t="s">
        <v>18</v>
      </c>
      <c r="N10" t="s">
        <v>18</v>
      </c>
      <c r="O10" t="s">
        <v>18</v>
      </c>
    </row>
    <row r="11" spans="1:15" ht="18" customHeight="1" x14ac:dyDescent="0.15">
      <c r="A11" t="s">
        <v>18</v>
      </c>
      <c r="B11" t="s">
        <v>18</v>
      </c>
      <c r="C11" s="6" t="s">
        <v>151</v>
      </c>
      <c r="D11" s="7" t="s">
        <v>35</v>
      </c>
      <c r="E11" s="8">
        <v>0.03</v>
      </c>
      <c r="F11" t="s">
        <v>36</v>
      </c>
      <c r="G11" s="9">
        <v>6.43</v>
      </c>
      <c r="H11" s="10">
        <v>0.19289999999999999</v>
      </c>
      <c r="I11" t="s">
        <v>18</v>
      </c>
      <c r="J11" t="s">
        <v>18</v>
      </c>
      <c r="K11" t="s">
        <v>18</v>
      </c>
      <c r="L11" t="s">
        <v>18</v>
      </c>
      <c r="M11" t="s">
        <v>18</v>
      </c>
      <c r="N11" t="s">
        <v>18</v>
      </c>
      <c r="O11" t="s">
        <v>18</v>
      </c>
    </row>
    <row r="12" spans="1:15" ht="18" customHeight="1" x14ac:dyDescent="0.15">
      <c r="A12" t="s">
        <v>18</v>
      </c>
      <c r="B12" t="s">
        <v>18</v>
      </c>
      <c r="C12" s="6" t="s">
        <v>153</v>
      </c>
      <c r="D12" s="7" t="s">
        <v>20</v>
      </c>
      <c r="E12" s="8">
        <v>0.04</v>
      </c>
      <c r="F12" t="s">
        <v>21</v>
      </c>
      <c r="G12" s="9">
        <v>18.899999999999999</v>
      </c>
      <c r="H12" s="10">
        <v>0.75600000000000001</v>
      </c>
      <c r="I12" t="s">
        <v>18</v>
      </c>
      <c r="J12" t="s">
        <v>18</v>
      </c>
      <c r="K12" t="s">
        <v>18</v>
      </c>
      <c r="L12" t="s">
        <v>18</v>
      </c>
      <c r="M12" t="s">
        <v>18</v>
      </c>
      <c r="N12" t="s">
        <v>18</v>
      </c>
      <c r="O12" t="s">
        <v>18</v>
      </c>
    </row>
    <row r="13" spans="1:15" ht="18" customHeight="1" x14ac:dyDescent="0.15">
      <c r="A13" t="s">
        <v>18</v>
      </c>
      <c r="B13" t="s">
        <v>18</v>
      </c>
      <c r="C13" s="6" t="s">
        <v>143</v>
      </c>
      <c r="D13" s="7" t="s">
        <v>20</v>
      </c>
      <c r="E13" s="8">
        <v>0.01</v>
      </c>
      <c r="F13" t="s">
        <v>21</v>
      </c>
      <c r="G13" s="9">
        <v>5.5</v>
      </c>
      <c r="H13" s="10">
        <v>5.5E-2</v>
      </c>
      <c r="I13" t="s">
        <v>18</v>
      </c>
      <c r="J13" t="s">
        <v>18</v>
      </c>
      <c r="K13" t="s">
        <v>18</v>
      </c>
      <c r="L13" t="s">
        <v>18</v>
      </c>
      <c r="M13" t="s">
        <v>18</v>
      </c>
      <c r="N13" t="s">
        <v>18</v>
      </c>
      <c r="O13" t="s">
        <v>18</v>
      </c>
    </row>
    <row r="14" spans="1:15" ht="18" customHeight="1" x14ac:dyDescent="0.15">
      <c r="A14" t="s">
        <v>18</v>
      </c>
      <c r="B14" t="s">
        <v>18</v>
      </c>
      <c r="C14" s="6" t="s">
        <v>129</v>
      </c>
      <c r="D14" s="7" t="s">
        <v>20</v>
      </c>
      <c r="E14" s="8">
        <v>0.08</v>
      </c>
      <c r="F14" t="s">
        <v>21</v>
      </c>
      <c r="G14" s="9">
        <v>28</v>
      </c>
      <c r="H14" s="10">
        <v>2.2400000000000002</v>
      </c>
      <c r="I14" t="s">
        <v>18</v>
      </c>
      <c r="J14" t="s">
        <v>18</v>
      </c>
      <c r="K14" t="s">
        <v>18</v>
      </c>
      <c r="L14" t="s">
        <v>18</v>
      </c>
      <c r="M14" t="s">
        <v>18</v>
      </c>
      <c r="N14" t="s">
        <v>18</v>
      </c>
      <c r="O14" t="s">
        <v>18</v>
      </c>
    </row>
    <row r="15" spans="1:15" ht="18" customHeight="1" x14ac:dyDescent="0.15">
      <c r="A15" t="s">
        <v>18</v>
      </c>
      <c r="B15" t="s">
        <v>18</v>
      </c>
      <c r="C15" s="6" t="s">
        <v>152</v>
      </c>
      <c r="D15" s="7" t="s">
        <v>20</v>
      </c>
      <c r="E15" s="8">
        <v>0.01</v>
      </c>
      <c r="F15" t="s">
        <v>21</v>
      </c>
      <c r="G15" s="9">
        <v>23</v>
      </c>
      <c r="H15" s="10">
        <v>0.23</v>
      </c>
      <c r="I15" t="s">
        <v>18</v>
      </c>
      <c r="J15" t="s">
        <v>18</v>
      </c>
      <c r="K15" t="s">
        <v>18</v>
      </c>
      <c r="L15" t="s">
        <v>18</v>
      </c>
      <c r="M15" t="s">
        <v>18</v>
      </c>
      <c r="N15" t="s">
        <v>18</v>
      </c>
      <c r="O15" t="s">
        <v>18</v>
      </c>
    </row>
    <row r="16" spans="1:15" ht="18" customHeight="1" x14ac:dyDescent="0.15">
      <c r="A16" t="s">
        <v>18</v>
      </c>
      <c r="B16" t="s">
        <v>18</v>
      </c>
      <c r="C16" s="6" t="s">
        <v>37</v>
      </c>
      <c r="D16" s="7" t="s">
        <v>35</v>
      </c>
      <c r="E16" s="8">
        <v>0.01</v>
      </c>
      <c r="F16" t="s">
        <v>36</v>
      </c>
      <c r="G16" s="9">
        <v>10.63</v>
      </c>
      <c r="H16" s="10">
        <v>0.10630000000000001</v>
      </c>
      <c r="I16" t="s">
        <v>18</v>
      </c>
      <c r="J16" t="s">
        <v>18</v>
      </c>
      <c r="K16" t="s">
        <v>18</v>
      </c>
      <c r="L16" t="s">
        <v>18</v>
      </c>
      <c r="M16" t="s">
        <v>18</v>
      </c>
      <c r="N16" t="s">
        <v>18</v>
      </c>
      <c r="O16" t="s">
        <v>18</v>
      </c>
    </row>
    <row r="17" spans="1:15" ht="18" customHeight="1" x14ac:dyDescent="0.15">
      <c r="A17" t="s">
        <v>18</v>
      </c>
      <c r="B17" t="s">
        <v>18</v>
      </c>
      <c r="C17" s="6" t="s">
        <v>38</v>
      </c>
      <c r="D17" s="7" t="s">
        <v>20</v>
      </c>
      <c r="E17" s="8">
        <v>5.0000000000000001E-3</v>
      </c>
      <c r="F17" t="s">
        <v>21</v>
      </c>
      <c r="G17" s="9">
        <v>14.44</v>
      </c>
      <c r="H17" s="10">
        <v>7.22E-2</v>
      </c>
      <c r="I17" t="s">
        <v>18</v>
      </c>
      <c r="J17" t="s">
        <v>18</v>
      </c>
      <c r="K17" t="s">
        <v>18</v>
      </c>
      <c r="L17" t="s">
        <v>18</v>
      </c>
      <c r="M17" t="s">
        <v>18</v>
      </c>
      <c r="N17" t="s">
        <v>18</v>
      </c>
      <c r="O17" t="s">
        <v>18</v>
      </c>
    </row>
    <row r="18" spans="1:15" ht="18" customHeight="1" x14ac:dyDescent="0.15">
      <c r="A18" t="s">
        <v>18</v>
      </c>
      <c r="B18" t="s">
        <v>18</v>
      </c>
      <c r="C18" s="6" t="s">
        <v>30</v>
      </c>
      <c r="D18" s="7" t="s">
        <v>31</v>
      </c>
      <c r="E18" s="8">
        <v>1</v>
      </c>
      <c r="F18" t="s">
        <v>32</v>
      </c>
      <c r="G18" s="9">
        <v>0.7</v>
      </c>
      <c r="H18" s="10">
        <v>0.7</v>
      </c>
      <c r="I18" t="s">
        <v>18</v>
      </c>
      <c r="J18" t="s">
        <v>18</v>
      </c>
      <c r="K18" t="s">
        <v>18</v>
      </c>
      <c r="L18" t="s">
        <v>18</v>
      </c>
      <c r="M18" t="s">
        <v>18</v>
      </c>
      <c r="N18" t="s">
        <v>18</v>
      </c>
      <c r="O18" t="s">
        <v>18</v>
      </c>
    </row>
    <row r="19" spans="1:15" ht="18" customHeight="1" x14ac:dyDescent="0.15">
      <c r="A19" t="s">
        <v>18</v>
      </c>
      <c r="B19" t="s">
        <v>18</v>
      </c>
      <c r="C19" s="6" t="s">
        <v>130</v>
      </c>
      <c r="D19" s="7" t="s">
        <v>35</v>
      </c>
      <c r="E19" s="8">
        <v>0.02</v>
      </c>
      <c r="F19" t="s">
        <v>36</v>
      </c>
      <c r="G19" s="9">
        <v>14.06</v>
      </c>
      <c r="H19" s="10">
        <v>0.28120000000000001</v>
      </c>
      <c r="I19" t="s">
        <v>18</v>
      </c>
      <c r="J19" t="s">
        <v>18</v>
      </c>
      <c r="K19" t="s">
        <v>18</v>
      </c>
      <c r="L19" t="s">
        <v>18</v>
      </c>
      <c r="M19" t="s">
        <v>18</v>
      </c>
      <c r="N19" t="s">
        <v>18</v>
      </c>
      <c r="O19" t="s">
        <v>18</v>
      </c>
    </row>
    <row r="21" spans="1:15" ht="20" customHeight="1" x14ac:dyDescent="0.15">
      <c r="A21" s="2" t="s">
        <v>190</v>
      </c>
      <c r="B21" s="2" t="s">
        <v>188</v>
      </c>
      <c r="C21" s="2" t="s">
        <v>18</v>
      </c>
      <c r="D21" s="2" t="s">
        <v>18</v>
      </c>
      <c r="E21" s="2" t="s">
        <v>18</v>
      </c>
      <c r="F21" s="2" t="s">
        <v>18</v>
      </c>
      <c r="G21" s="2" t="s">
        <v>18</v>
      </c>
      <c r="H21" s="2" t="s">
        <v>18</v>
      </c>
      <c r="I21" s="3">
        <v>42</v>
      </c>
      <c r="J21" s="3">
        <v>6.835282186948854</v>
      </c>
      <c r="K21" s="11">
        <v>0.19203888049046783</v>
      </c>
      <c r="L21" s="5">
        <v>205</v>
      </c>
      <c r="M21" s="3">
        <f>L21*(I21/1.18)</f>
        <v>7296.610169491526</v>
      </c>
      <c r="N21" s="3">
        <f>L21*J21</f>
        <v>1401.2328483245151</v>
      </c>
      <c r="O21" s="4">
        <f>N21/M21</f>
        <v>0.1920388804904678</v>
      </c>
    </row>
    <row r="22" spans="1:15" ht="18" customHeight="1" x14ac:dyDescent="0.15">
      <c r="A22" t="s">
        <v>18</v>
      </c>
      <c r="B22" t="s">
        <v>18</v>
      </c>
      <c r="C22" s="6" t="s">
        <v>23</v>
      </c>
      <c r="D22" s="7" t="s">
        <v>20</v>
      </c>
      <c r="E22" s="8">
        <v>0.02</v>
      </c>
      <c r="F22" t="s">
        <v>21</v>
      </c>
      <c r="G22" s="9">
        <v>68</v>
      </c>
      <c r="H22" s="10">
        <v>1.36</v>
      </c>
      <c r="I22" t="s">
        <v>18</v>
      </c>
      <c r="J22" t="s">
        <v>18</v>
      </c>
      <c r="K22" t="s">
        <v>18</v>
      </c>
      <c r="L22" t="s">
        <v>18</v>
      </c>
      <c r="M22" t="s">
        <v>18</v>
      </c>
      <c r="N22" t="s">
        <v>18</v>
      </c>
      <c r="O22" t="s">
        <v>18</v>
      </c>
    </row>
    <row r="23" spans="1:15" ht="18" customHeight="1" x14ac:dyDescent="0.15">
      <c r="A23" t="s">
        <v>18</v>
      </c>
      <c r="B23" t="s">
        <v>18</v>
      </c>
      <c r="C23" s="6" t="s">
        <v>52</v>
      </c>
      <c r="D23" s="7" t="s">
        <v>20</v>
      </c>
      <c r="E23" s="8">
        <v>0.01</v>
      </c>
      <c r="F23" t="s">
        <v>21</v>
      </c>
      <c r="G23" s="9">
        <v>52</v>
      </c>
      <c r="H23" s="10">
        <v>0.52</v>
      </c>
      <c r="I23" t="s">
        <v>18</v>
      </c>
      <c r="J23" t="s">
        <v>18</v>
      </c>
      <c r="K23" t="s">
        <v>18</v>
      </c>
      <c r="L23" t="s">
        <v>18</v>
      </c>
      <c r="M23" t="s">
        <v>18</v>
      </c>
      <c r="N23" t="s">
        <v>18</v>
      </c>
      <c r="O23" t="s">
        <v>18</v>
      </c>
    </row>
    <row r="24" spans="1:15" ht="18" customHeight="1" x14ac:dyDescent="0.15">
      <c r="A24" t="s">
        <v>18</v>
      </c>
      <c r="B24" t="s">
        <v>18</v>
      </c>
      <c r="C24" s="6" t="s">
        <v>152</v>
      </c>
      <c r="D24" s="7" t="s">
        <v>20</v>
      </c>
      <c r="E24" s="8">
        <v>0.03</v>
      </c>
      <c r="F24" t="s">
        <v>21</v>
      </c>
      <c r="G24" s="9">
        <v>23</v>
      </c>
      <c r="H24" s="10">
        <v>0.69</v>
      </c>
      <c r="I24" t="s">
        <v>18</v>
      </c>
      <c r="J24" t="s">
        <v>18</v>
      </c>
      <c r="K24" t="s">
        <v>18</v>
      </c>
      <c r="L24" t="s">
        <v>18</v>
      </c>
      <c r="M24" t="s">
        <v>18</v>
      </c>
      <c r="N24" t="s">
        <v>18</v>
      </c>
      <c r="O24" t="s">
        <v>18</v>
      </c>
    </row>
    <row r="25" spans="1:15" ht="18" customHeight="1" x14ac:dyDescent="0.15">
      <c r="A25" t="s">
        <v>18</v>
      </c>
      <c r="B25" t="s">
        <v>18</v>
      </c>
      <c r="C25" s="6" t="s">
        <v>30</v>
      </c>
      <c r="D25" s="7" t="s">
        <v>31</v>
      </c>
      <c r="E25" s="8">
        <v>1</v>
      </c>
      <c r="F25" t="s">
        <v>32</v>
      </c>
      <c r="G25" s="9">
        <v>0.7</v>
      </c>
      <c r="H25" s="10">
        <v>0.7</v>
      </c>
      <c r="I25" t="s">
        <v>18</v>
      </c>
      <c r="J25" t="s">
        <v>18</v>
      </c>
      <c r="K25" t="s">
        <v>18</v>
      </c>
      <c r="L25" t="s">
        <v>18</v>
      </c>
      <c r="M25" t="s">
        <v>18</v>
      </c>
      <c r="N25" t="s">
        <v>18</v>
      </c>
      <c r="O25" t="s">
        <v>18</v>
      </c>
    </row>
    <row r="26" spans="1:15" ht="18" customHeight="1" x14ac:dyDescent="0.15">
      <c r="A26" t="s">
        <v>18</v>
      </c>
      <c r="B26" t="s">
        <v>18</v>
      </c>
      <c r="C26" s="6" t="s">
        <v>191</v>
      </c>
      <c r="D26" s="7" t="s">
        <v>20</v>
      </c>
      <c r="E26" s="8">
        <v>0.17</v>
      </c>
      <c r="F26" t="s">
        <v>27</v>
      </c>
      <c r="G26" s="9">
        <v>6</v>
      </c>
      <c r="H26" s="10">
        <v>1.2240000000000002</v>
      </c>
      <c r="I26" t="s">
        <v>18</v>
      </c>
      <c r="J26" t="s">
        <v>18</v>
      </c>
      <c r="K26" t="s">
        <v>18</v>
      </c>
      <c r="L26" t="s">
        <v>18</v>
      </c>
      <c r="M26" t="s">
        <v>18</v>
      </c>
      <c r="N26" t="s">
        <v>18</v>
      </c>
      <c r="O26" t="s">
        <v>18</v>
      </c>
    </row>
    <row r="27" spans="1:15" ht="18" customHeight="1" x14ac:dyDescent="0.15">
      <c r="A27" t="s">
        <v>18</v>
      </c>
      <c r="B27" t="s">
        <v>18</v>
      </c>
      <c r="C27" s="6" t="s">
        <v>53</v>
      </c>
      <c r="D27" s="7" t="s">
        <v>35</v>
      </c>
      <c r="E27" s="8">
        <v>7.0000000000000007E-2</v>
      </c>
      <c r="F27" t="s">
        <v>36</v>
      </c>
      <c r="G27" s="9">
        <v>11.46</v>
      </c>
      <c r="H27" s="10">
        <v>0.80220000000000014</v>
      </c>
      <c r="I27" t="s">
        <v>18</v>
      </c>
      <c r="J27" t="s">
        <v>18</v>
      </c>
      <c r="K27" t="s">
        <v>18</v>
      </c>
      <c r="L27" t="s">
        <v>18</v>
      </c>
      <c r="M27" t="s">
        <v>18</v>
      </c>
      <c r="N27" t="s">
        <v>18</v>
      </c>
      <c r="O27" t="s">
        <v>18</v>
      </c>
    </row>
    <row r="28" spans="1:15" ht="18" customHeight="1" x14ac:dyDescent="0.15">
      <c r="A28" t="s">
        <v>18</v>
      </c>
      <c r="B28" t="s">
        <v>18</v>
      </c>
      <c r="C28" s="6" t="s">
        <v>126</v>
      </c>
      <c r="D28" s="7" t="s">
        <v>20</v>
      </c>
      <c r="E28" s="8">
        <v>0.08</v>
      </c>
      <c r="F28" t="s">
        <v>21</v>
      </c>
      <c r="G28" s="9">
        <v>10</v>
      </c>
      <c r="H28" s="10">
        <v>0.8</v>
      </c>
      <c r="I28" t="s">
        <v>18</v>
      </c>
      <c r="J28" t="s">
        <v>18</v>
      </c>
      <c r="K28" t="s">
        <v>18</v>
      </c>
      <c r="L28" t="s">
        <v>18</v>
      </c>
      <c r="M28" t="s">
        <v>18</v>
      </c>
      <c r="N28" t="s">
        <v>18</v>
      </c>
      <c r="O28" t="s">
        <v>18</v>
      </c>
    </row>
    <row r="29" spans="1:15" ht="18" customHeight="1" x14ac:dyDescent="0.15">
      <c r="A29" t="s">
        <v>18</v>
      </c>
      <c r="B29" t="s">
        <v>18</v>
      </c>
      <c r="C29" s="6" t="s">
        <v>28</v>
      </c>
      <c r="D29" s="7" t="s">
        <v>20</v>
      </c>
      <c r="E29" s="8">
        <v>0.03</v>
      </c>
      <c r="F29" t="s">
        <v>27</v>
      </c>
      <c r="G29" s="9">
        <v>2.5</v>
      </c>
      <c r="H29" s="10">
        <v>7.4999999999999997E-2</v>
      </c>
      <c r="I29" t="s">
        <v>18</v>
      </c>
      <c r="J29" t="s">
        <v>18</v>
      </c>
      <c r="K29" t="s">
        <v>18</v>
      </c>
      <c r="L29" t="s">
        <v>18</v>
      </c>
      <c r="M29" t="s">
        <v>18</v>
      </c>
      <c r="N29" t="s">
        <v>18</v>
      </c>
      <c r="O29" t="s">
        <v>18</v>
      </c>
    </row>
    <row r="30" spans="1:15" ht="18" customHeight="1" x14ac:dyDescent="0.15">
      <c r="A30" t="s">
        <v>18</v>
      </c>
      <c r="B30" t="s">
        <v>18</v>
      </c>
      <c r="C30" s="6" t="s">
        <v>143</v>
      </c>
      <c r="D30" s="7" t="s">
        <v>20</v>
      </c>
      <c r="E30" s="8">
        <v>0.01</v>
      </c>
      <c r="F30" t="s">
        <v>21</v>
      </c>
      <c r="G30" s="9">
        <v>5.5</v>
      </c>
      <c r="H30" s="10">
        <v>5.5E-2</v>
      </c>
      <c r="I30" t="s">
        <v>18</v>
      </c>
      <c r="J30" t="s">
        <v>18</v>
      </c>
      <c r="K30" t="s">
        <v>18</v>
      </c>
      <c r="L30" t="s">
        <v>18</v>
      </c>
      <c r="M30" t="s">
        <v>18</v>
      </c>
      <c r="N30" t="s">
        <v>18</v>
      </c>
      <c r="O30" t="s">
        <v>18</v>
      </c>
    </row>
    <row r="31" spans="1:15" ht="18" customHeight="1" x14ac:dyDescent="0.15">
      <c r="A31" t="s">
        <v>18</v>
      </c>
      <c r="B31" t="s">
        <v>18</v>
      </c>
      <c r="C31" s="6" t="s">
        <v>157</v>
      </c>
      <c r="D31" s="7" t="s">
        <v>20</v>
      </c>
      <c r="E31" s="8">
        <v>0.01</v>
      </c>
      <c r="F31" t="s">
        <v>21</v>
      </c>
      <c r="G31" s="9">
        <v>22.028218694885364</v>
      </c>
      <c r="H31" s="10">
        <v>0.22028218694885365</v>
      </c>
      <c r="I31" t="s">
        <v>18</v>
      </c>
      <c r="J31" t="s">
        <v>18</v>
      </c>
      <c r="K31" t="s">
        <v>18</v>
      </c>
      <c r="L31" t="s">
        <v>18</v>
      </c>
      <c r="M31" t="s">
        <v>18</v>
      </c>
      <c r="N31" t="s">
        <v>18</v>
      </c>
      <c r="O31" t="s">
        <v>18</v>
      </c>
    </row>
    <row r="32" spans="1:15" ht="18" customHeight="1" x14ac:dyDescent="0.15">
      <c r="A32" t="s">
        <v>18</v>
      </c>
      <c r="B32" t="s">
        <v>18</v>
      </c>
      <c r="C32" s="6" t="s">
        <v>192</v>
      </c>
      <c r="D32" s="7" t="s">
        <v>35</v>
      </c>
      <c r="E32" s="8">
        <v>0.03</v>
      </c>
      <c r="F32" t="s">
        <v>36</v>
      </c>
      <c r="G32" s="9">
        <v>12.96</v>
      </c>
      <c r="H32" s="10">
        <v>0.38880000000000003</v>
      </c>
      <c r="I32" t="s">
        <v>18</v>
      </c>
      <c r="J32" t="s">
        <v>18</v>
      </c>
      <c r="K32" t="s">
        <v>18</v>
      </c>
      <c r="L32" t="s">
        <v>18</v>
      </c>
      <c r="M32" t="s">
        <v>18</v>
      </c>
      <c r="N32" t="s">
        <v>18</v>
      </c>
      <c r="O32" t="s">
        <v>18</v>
      </c>
    </row>
    <row r="34" spans="1:15" ht="20" customHeight="1" x14ac:dyDescent="0.15">
      <c r="A34" s="2" t="s">
        <v>193</v>
      </c>
      <c r="B34" s="2" t="s">
        <v>188</v>
      </c>
      <c r="C34" s="2" t="s">
        <v>18</v>
      </c>
      <c r="D34" s="2" t="s">
        <v>18</v>
      </c>
      <c r="E34" s="2" t="s">
        <v>18</v>
      </c>
      <c r="F34" s="2" t="s">
        <v>18</v>
      </c>
      <c r="G34" s="2" t="s">
        <v>18</v>
      </c>
      <c r="H34" s="2" t="s">
        <v>18</v>
      </c>
      <c r="I34" s="3">
        <v>48</v>
      </c>
      <c r="J34" s="3">
        <f>SUM(H35:H42)</f>
        <v>12.912499999999998</v>
      </c>
      <c r="K34" s="11">
        <f>J34/(I34/1.18)</f>
        <v>0.31743229166666659</v>
      </c>
      <c r="L34" s="5">
        <v>340</v>
      </c>
      <c r="M34" s="3">
        <f>L34*(I34/1.18)</f>
        <v>13830.508474576272</v>
      </c>
      <c r="N34" s="3">
        <f>L34*J34</f>
        <v>4390.2499999999991</v>
      </c>
      <c r="O34" s="4">
        <f>N34/M34</f>
        <v>0.31743229166666659</v>
      </c>
    </row>
    <row r="35" spans="1:15" ht="18" customHeight="1" x14ac:dyDescent="0.15">
      <c r="A35" t="s">
        <v>18</v>
      </c>
      <c r="B35" t="s">
        <v>18</v>
      </c>
      <c r="C35" s="6" t="s">
        <v>30</v>
      </c>
      <c r="D35" s="7" t="s">
        <v>31</v>
      </c>
      <c r="E35" s="8">
        <v>1</v>
      </c>
      <c r="F35" t="s">
        <v>32</v>
      </c>
      <c r="G35" s="9">
        <v>0.7</v>
      </c>
      <c r="H35" s="10">
        <v>0.7</v>
      </c>
      <c r="I35" t="s">
        <v>18</v>
      </c>
      <c r="J35" t="s">
        <v>18</v>
      </c>
      <c r="K35" t="s">
        <v>18</v>
      </c>
      <c r="L35" t="s">
        <v>18</v>
      </c>
      <c r="M35" t="s">
        <v>18</v>
      </c>
      <c r="N35" t="s">
        <v>18</v>
      </c>
      <c r="O35" t="s">
        <v>18</v>
      </c>
    </row>
    <row r="36" spans="1:15" ht="18" customHeight="1" x14ac:dyDescent="0.15">
      <c r="A36" t="s">
        <v>18</v>
      </c>
      <c r="B36" t="s">
        <v>18</v>
      </c>
      <c r="C36" s="6" t="s">
        <v>153</v>
      </c>
      <c r="D36" s="7" t="s">
        <v>20</v>
      </c>
      <c r="E36" s="8">
        <v>0.04</v>
      </c>
      <c r="F36" t="s">
        <v>21</v>
      </c>
      <c r="G36" s="9">
        <v>18.899999999999999</v>
      </c>
      <c r="H36" s="10">
        <v>0.75600000000000001</v>
      </c>
      <c r="I36" t="s">
        <v>18</v>
      </c>
      <c r="J36" t="s">
        <v>18</v>
      </c>
      <c r="K36" t="s">
        <v>18</v>
      </c>
      <c r="L36" t="s">
        <v>18</v>
      </c>
      <c r="M36" t="s">
        <v>18</v>
      </c>
      <c r="N36" t="s">
        <v>18</v>
      </c>
      <c r="O36" t="s">
        <v>18</v>
      </c>
    </row>
    <row r="37" spans="1:15" ht="18" customHeight="1" x14ac:dyDescent="0.15">
      <c r="A37" t="s">
        <v>18</v>
      </c>
      <c r="B37" t="s">
        <v>18</v>
      </c>
      <c r="C37" s="6" t="s">
        <v>152</v>
      </c>
      <c r="D37" s="7" t="s">
        <v>20</v>
      </c>
      <c r="E37" s="8">
        <v>0.02</v>
      </c>
      <c r="F37" t="s">
        <v>21</v>
      </c>
      <c r="G37" s="9">
        <v>23</v>
      </c>
      <c r="H37" s="10">
        <v>0.46</v>
      </c>
      <c r="I37" t="s">
        <v>18</v>
      </c>
      <c r="J37" t="s">
        <v>18</v>
      </c>
      <c r="K37" t="s">
        <v>18</v>
      </c>
      <c r="L37" t="s">
        <v>18</v>
      </c>
      <c r="M37" t="s">
        <v>18</v>
      </c>
      <c r="N37" t="s">
        <v>18</v>
      </c>
      <c r="O37" t="s">
        <v>18</v>
      </c>
    </row>
    <row r="38" spans="1:15" ht="18" customHeight="1" x14ac:dyDescent="0.15">
      <c r="A38" t="s">
        <v>18</v>
      </c>
      <c r="B38" t="s">
        <v>18</v>
      </c>
      <c r="C38" s="6" t="s">
        <v>143</v>
      </c>
      <c r="D38" s="7" t="s">
        <v>20</v>
      </c>
      <c r="E38" s="8">
        <v>0.01</v>
      </c>
      <c r="F38" t="s">
        <v>21</v>
      </c>
      <c r="G38" s="9">
        <v>5.5</v>
      </c>
      <c r="H38" s="10">
        <v>5.5E-2</v>
      </c>
      <c r="I38" t="s">
        <v>18</v>
      </c>
      <c r="J38" t="s">
        <v>18</v>
      </c>
      <c r="K38" t="s">
        <v>18</v>
      </c>
      <c r="L38" t="s">
        <v>18</v>
      </c>
      <c r="M38" t="s">
        <v>18</v>
      </c>
      <c r="N38" t="s">
        <v>18</v>
      </c>
      <c r="O38" t="s">
        <v>18</v>
      </c>
    </row>
    <row r="39" spans="1:15" ht="18" customHeight="1" x14ac:dyDescent="0.15">
      <c r="A39" t="s">
        <v>18</v>
      </c>
      <c r="B39" t="s">
        <v>18</v>
      </c>
      <c r="C39" s="6" t="s">
        <v>150</v>
      </c>
      <c r="D39" s="7" t="s">
        <v>35</v>
      </c>
      <c r="E39" s="8">
        <v>0.24</v>
      </c>
      <c r="F39" t="s">
        <v>36</v>
      </c>
      <c r="G39" s="9">
        <v>15.74</v>
      </c>
      <c r="H39" s="10">
        <f>G39*E39</f>
        <v>3.7776000000000001</v>
      </c>
      <c r="I39" t="s">
        <v>18</v>
      </c>
      <c r="J39" t="s">
        <v>18</v>
      </c>
      <c r="K39" t="s">
        <v>18</v>
      </c>
      <c r="L39" t="s">
        <v>18</v>
      </c>
      <c r="M39" t="s">
        <v>18</v>
      </c>
      <c r="N39" t="s">
        <v>18</v>
      </c>
      <c r="O39" t="s">
        <v>18</v>
      </c>
    </row>
    <row r="40" spans="1:15" ht="18" customHeight="1" x14ac:dyDescent="0.15">
      <c r="A40" t="s">
        <v>18</v>
      </c>
      <c r="B40" t="s">
        <v>18</v>
      </c>
      <c r="C40" s="6" t="s">
        <v>68</v>
      </c>
      <c r="D40" s="7" t="s">
        <v>35</v>
      </c>
      <c r="E40" s="8">
        <v>0.01</v>
      </c>
      <c r="F40" t="s">
        <v>36</v>
      </c>
      <c r="G40" s="9">
        <v>16.09</v>
      </c>
      <c r="H40" s="10">
        <v>0.16090000000000002</v>
      </c>
      <c r="I40" t="s">
        <v>18</v>
      </c>
      <c r="J40" t="s">
        <v>18</v>
      </c>
      <c r="K40" t="s">
        <v>18</v>
      </c>
      <c r="L40" t="s">
        <v>18</v>
      </c>
      <c r="M40" t="s">
        <v>18</v>
      </c>
      <c r="N40" t="s">
        <v>18</v>
      </c>
      <c r="O40" t="s">
        <v>18</v>
      </c>
    </row>
    <row r="41" spans="1:15" ht="18" customHeight="1" x14ac:dyDescent="0.15">
      <c r="A41" t="s">
        <v>18</v>
      </c>
      <c r="B41" t="s">
        <v>18</v>
      </c>
      <c r="C41" s="6" t="s">
        <v>151</v>
      </c>
      <c r="D41" s="7" t="s">
        <v>35</v>
      </c>
      <c r="E41" s="8">
        <v>0.1</v>
      </c>
      <c r="F41" t="s">
        <v>36</v>
      </c>
      <c r="G41" s="9">
        <v>6.43</v>
      </c>
      <c r="H41" s="10">
        <v>0.64300000000000002</v>
      </c>
      <c r="I41" t="s">
        <v>18</v>
      </c>
      <c r="J41" t="s">
        <v>18</v>
      </c>
      <c r="K41" t="s">
        <v>18</v>
      </c>
      <c r="L41" t="s">
        <v>18</v>
      </c>
      <c r="M41" t="s">
        <v>18</v>
      </c>
      <c r="N41" t="s">
        <v>18</v>
      </c>
      <c r="O41" t="s">
        <v>18</v>
      </c>
    </row>
    <row r="42" spans="1:15" ht="18" customHeight="1" x14ac:dyDescent="0.15">
      <c r="A42" t="s">
        <v>18</v>
      </c>
      <c r="B42" t="s">
        <v>18</v>
      </c>
      <c r="C42" s="6" t="s">
        <v>194</v>
      </c>
      <c r="D42" s="7" t="s">
        <v>20</v>
      </c>
      <c r="E42" s="8">
        <v>0.12</v>
      </c>
      <c r="F42" t="s">
        <v>21</v>
      </c>
      <c r="G42" s="9">
        <v>53</v>
      </c>
      <c r="H42" s="10">
        <v>6.3599999999999994</v>
      </c>
      <c r="I42" t="s">
        <v>18</v>
      </c>
      <c r="J42" t="s">
        <v>18</v>
      </c>
      <c r="K42" t="s">
        <v>18</v>
      </c>
      <c r="L42" t="s">
        <v>18</v>
      </c>
      <c r="M42" t="s">
        <v>18</v>
      </c>
      <c r="N42" t="s">
        <v>18</v>
      </c>
      <c r="O42" t="s">
        <v>18</v>
      </c>
    </row>
    <row r="44" spans="1:15" ht="20" customHeight="1" x14ac:dyDescent="0.15">
      <c r="A44" s="2" t="s">
        <v>195</v>
      </c>
      <c r="B44" s="2" t="s">
        <v>188</v>
      </c>
      <c r="C44" s="2" t="s">
        <v>18</v>
      </c>
      <c r="D44" s="2" t="s">
        <v>18</v>
      </c>
      <c r="E44" s="2" t="s">
        <v>18</v>
      </c>
      <c r="F44" s="2" t="s">
        <v>18</v>
      </c>
      <c r="G44" s="2" t="s">
        <v>18</v>
      </c>
      <c r="H44" s="2" t="s">
        <v>18</v>
      </c>
      <c r="I44" s="3">
        <v>32</v>
      </c>
      <c r="J44" s="3">
        <f>SUM(H45:H52)</f>
        <v>7.6741999999999999</v>
      </c>
      <c r="K44" s="11">
        <f>J44/(I44/1.18)</f>
        <v>0.28298612499999998</v>
      </c>
      <c r="L44" s="5">
        <v>571</v>
      </c>
      <c r="M44" s="3">
        <f>L44*(I44/1.18)</f>
        <v>15484.745762711866</v>
      </c>
      <c r="N44" s="3">
        <f>L44*J44</f>
        <v>4381.9682000000003</v>
      </c>
      <c r="O44" s="4">
        <f>N44/M44</f>
        <v>0.28298612499999998</v>
      </c>
    </row>
    <row r="45" spans="1:15" ht="18" customHeight="1" x14ac:dyDescent="0.15">
      <c r="A45" t="s">
        <v>18</v>
      </c>
      <c r="B45" t="s">
        <v>18</v>
      </c>
      <c r="C45" s="6" t="s">
        <v>30</v>
      </c>
      <c r="D45" s="7" t="s">
        <v>31</v>
      </c>
      <c r="E45" s="8">
        <v>1</v>
      </c>
      <c r="F45" t="s">
        <v>32</v>
      </c>
      <c r="G45" s="9">
        <v>0.7</v>
      </c>
      <c r="H45" s="10">
        <v>0.7</v>
      </c>
      <c r="I45" t="s">
        <v>18</v>
      </c>
      <c r="J45" t="s">
        <v>18</v>
      </c>
      <c r="K45" t="s">
        <v>18</v>
      </c>
      <c r="L45" t="s">
        <v>18</v>
      </c>
      <c r="M45" t="s">
        <v>18</v>
      </c>
      <c r="N45" t="s">
        <v>18</v>
      </c>
      <c r="O45" t="s">
        <v>18</v>
      </c>
    </row>
    <row r="46" spans="1:15" ht="18" customHeight="1" x14ac:dyDescent="0.15">
      <c r="A46" t="s">
        <v>18</v>
      </c>
      <c r="B46" t="s">
        <v>18</v>
      </c>
      <c r="C46" s="6" t="s">
        <v>153</v>
      </c>
      <c r="D46" s="7" t="s">
        <v>20</v>
      </c>
      <c r="E46" s="8">
        <v>0.02</v>
      </c>
      <c r="F46" t="s">
        <v>21</v>
      </c>
      <c r="G46" s="9">
        <v>18.899999999999999</v>
      </c>
      <c r="H46" s="10">
        <v>0.378</v>
      </c>
      <c r="I46" t="s">
        <v>18</v>
      </c>
      <c r="J46" t="s">
        <v>18</v>
      </c>
      <c r="K46" t="s">
        <v>18</v>
      </c>
      <c r="L46" t="s">
        <v>18</v>
      </c>
      <c r="M46" t="s">
        <v>18</v>
      </c>
      <c r="N46" t="s">
        <v>18</v>
      </c>
      <c r="O46" t="s">
        <v>18</v>
      </c>
    </row>
    <row r="47" spans="1:15" ht="18" customHeight="1" x14ac:dyDescent="0.15">
      <c r="A47" t="s">
        <v>18</v>
      </c>
      <c r="B47" t="s">
        <v>18</v>
      </c>
      <c r="C47" s="6" t="s">
        <v>152</v>
      </c>
      <c r="D47" s="7" t="s">
        <v>20</v>
      </c>
      <c r="E47" s="8">
        <v>0.02</v>
      </c>
      <c r="F47" t="s">
        <v>21</v>
      </c>
      <c r="G47" s="9">
        <v>23</v>
      </c>
      <c r="H47" s="10">
        <v>0.46</v>
      </c>
      <c r="I47" t="s">
        <v>18</v>
      </c>
      <c r="J47" t="s">
        <v>18</v>
      </c>
      <c r="K47" t="s">
        <v>18</v>
      </c>
      <c r="L47" t="s">
        <v>18</v>
      </c>
      <c r="M47" t="s">
        <v>18</v>
      </c>
      <c r="N47" t="s">
        <v>18</v>
      </c>
      <c r="O47" t="s">
        <v>18</v>
      </c>
    </row>
    <row r="48" spans="1:15" ht="18" customHeight="1" x14ac:dyDescent="0.15">
      <c r="A48" t="s">
        <v>18</v>
      </c>
      <c r="B48" t="s">
        <v>18</v>
      </c>
      <c r="C48" s="6" t="s">
        <v>143</v>
      </c>
      <c r="D48" s="7" t="s">
        <v>20</v>
      </c>
      <c r="E48" s="8">
        <v>0.01</v>
      </c>
      <c r="F48" t="s">
        <v>21</v>
      </c>
      <c r="G48" s="9">
        <v>5.5</v>
      </c>
      <c r="H48" s="10">
        <v>5.5E-2</v>
      </c>
      <c r="I48" t="s">
        <v>18</v>
      </c>
      <c r="J48" t="s">
        <v>18</v>
      </c>
      <c r="K48" t="s">
        <v>18</v>
      </c>
      <c r="L48" t="s">
        <v>18</v>
      </c>
      <c r="M48" t="s">
        <v>18</v>
      </c>
      <c r="N48" t="s">
        <v>18</v>
      </c>
      <c r="O48" t="s">
        <v>18</v>
      </c>
    </row>
    <row r="49" spans="1:15" ht="18" customHeight="1" x14ac:dyDescent="0.15">
      <c r="A49" t="s">
        <v>18</v>
      </c>
      <c r="B49" t="s">
        <v>18</v>
      </c>
      <c r="C49" s="6" t="s">
        <v>150</v>
      </c>
      <c r="D49" s="7" t="s">
        <v>35</v>
      </c>
      <c r="E49" s="8">
        <v>0.12</v>
      </c>
      <c r="F49" t="s">
        <v>36</v>
      </c>
      <c r="G49" s="9">
        <v>15.74</v>
      </c>
      <c r="H49" s="10">
        <f>G49*E49</f>
        <v>1.8888</v>
      </c>
      <c r="I49" t="s">
        <v>18</v>
      </c>
      <c r="J49" t="s">
        <v>18</v>
      </c>
      <c r="K49" t="s">
        <v>18</v>
      </c>
      <c r="L49" t="s">
        <v>18</v>
      </c>
      <c r="M49" t="s">
        <v>18</v>
      </c>
      <c r="N49" t="s">
        <v>18</v>
      </c>
      <c r="O49" t="s">
        <v>18</v>
      </c>
    </row>
    <row r="50" spans="1:15" ht="18" customHeight="1" x14ac:dyDescent="0.15">
      <c r="A50" t="s">
        <v>18</v>
      </c>
      <c r="B50" t="s">
        <v>18</v>
      </c>
      <c r="C50" s="6" t="s">
        <v>68</v>
      </c>
      <c r="D50" s="7" t="s">
        <v>35</v>
      </c>
      <c r="E50" s="8">
        <v>0.01</v>
      </c>
      <c r="F50" t="s">
        <v>36</v>
      </c>
      <c r="G50" s="9">
        <v>16.09</v>
      </c>
      <c r="H50" s="10">
        <v>0.16090000000000002</v>
      </c>
      <c r="I50" t="s">
        <v>18</v>
      </c>
      <c r="J50" t="s">
        <v>18</v>
      </c>
      <c r="K50" t="s">
        <v>18</v>
      </c>
      <c r="L50" t="s">
        <v>18</v>
      </c>
      <c r="M50" t="s">
        <v>18</v>
      </c>
      <c r="N50" t="s">
        <v>18</v>
      </c>
      <c r="O50" t="s">
        <v>18</v>
      </c>
    </row>
    <row r="51" spans="1:15" ht="18" customHeight="1" x14ac:dyDescent="0.15">
      <c r="A51" t="s">
        <v>18</v>
      </c>
      <c r="B51" t="s">
        <v>18</v>
      </c>
      <c r="C51" s="6" t="s">
        <v>151</v>
      </c>
      <c r="D51" s="7" t="s">
        <v>35</v>
      </c>
      <c r="E51" s="8">
        <v>0.05</v>
      </c>
      <c r="F51" t="s">
        <v>36</v>
      </c>
      <c r="G51" s="9">
        <v>6.43</v>
      </c>
      <c r="H51" s="10">
        <v>0.32150000000000001</v>
      </c>
      <c r="I51" t="s">
        <v>18</v>
      </c>
      <c r="J51" t="s">
        <v>18</v>
      </c>
      <c r="K51" t="s">
        <v>18</v>
      </c>
      <c r="L51" t="s">
        <v>18</v>
      </c>
      <c r="M51" t="s">
        <v>18</v>
      </c>
      <c r="N51" t="s">
        <v>18</v>
      </c>
      <c r="O51" t="s">
        <v>18</v>
      </c>
    </row>
    <row r="52" spans="1:15" ht="18" customHeight="1" x14ac:dyDescent="0.15">
      <c r="A52" t="s">
        <v>18</v>
      </c>
      <c r="B52" t="s">
        <v>18</v>
      </c>
      <c r="C52" s="6" t="s">
        <v>194</v>
      </c>
      <c r="D52" s="7" t="s">
        <v>20</v>
      </c>
      <c r="E52" s="8">
        <v>7.0000000000000007E-2</v>
      </c>
      <c r="F52" t="s">
        <v>21</v>
      </c>
      <c r="G52" s="9">
        <v>53</v>
      </c>
      <c r="H52" s="10">
        <v>3.7100000000000004</v>
      </c>
      <c r="I52" t="s">
        <v>18</v>
      </c>
      <c r="J52" t="s">
        <v>18</v>
      </c>
      <c r="K52" t="s">
        <v>18</v>
      </c>
      <c r="L52" t="s">
        <v>18</v>
      </c>
      <c r="M52" t="s">
        <v>18</v>
      </c>
      <c r="N52" t="s">
        <v>18</v>
      </c>
      <c r="O52" t="s">
        <v>18</v>
      </c>
    </row>
    <row r="54" spans="1:15" ht="20" customHeight="1" x14ac:dyDescent="0.15">
      <c r="A54" s="2" t="s">
        <v>196</v>
      </c>
      <c r="B54" s="2" t="s">
        <v>188</v>
      </c>
      <c r="C54" s="2" t="s">
        <v>18</v>
      </c>
      <c r="D54" s="2" t="s">
        <v>18</v>
      </c>
      <c r="E54" s="2" t="s">
        <v>18</v>
      </c>
      <c r="F54" s="2" t="s">
        <v>18</v>
      </c>
      <c r="G54" s="2" t="s">
        <v>18</v>
      </c>
      <c r="H54" s="2" t="s">
        <v>18</v>
      </c>
      <c r="I54" s="3">
        <v>44</v>
      </c>
      <c r="J54" s="3">
        <f>SUM(H55:H62)</f>
        <v>9.0882000000000005</v>
      </c>
      <c r="K54" s="11">
        <f>J54/(I54/1.18)</f>
        <v>0.243729</v>
      </c>
      <c r="L54" s="5">
        <v>132</v>
      </c>
      <c r="M54" s="3">
        <f>L54*(I54/1.18)</f>
        <v>4922.0338983050851</v>
      </c>
      <c r="N54" s="3">
        <f>L54*J54</f>
        <v>1199.6424000000002</v>
      </c>
      <c r="O54" s="4">
        <f>N54/M54</f>
        <v>0.24372900000000003</v>
      </c>
    </row>
    <row r="55" spans="1:15" ht="18" customHeight="1" x14ac:dyDescent="0.15">
      <c r="A55" t="s">
        <v>18</v>
      </c>
      <c r="B55" t="s">
        <v>18</v>
      </c>
      <c r="C55" s="6" t="s">
        <v>30</v>
      </c>
      <c r="D55" s="7" t="s">
        <v>31</v>
      </c>
      <c r="E55" s="8">
        <v>1</v>
      </c>
      <c r="F55" t="s">
        <v>32</v>
      </c>
      <c r="G55" s="9">
        <v>0.7</v>
      </c>
      <c r="H55" s="10">
        <v>0.7</v>
      </c>
      <c r="I55" t="s">
        <v>18</v>
      </c>
      <c r="J55" t="s">
        <v>18</v>
      </c>
      <c r="K55" t="s">
        <v>18</v>
      </c>
      <c r="L55" t="s">
        <v>18</v>
      </c>
      <c r="M55" t="s">
        <v>18</v>
      </c>
      <c r="N55" t="s">
        <v>18</v>
      </c>
      <c r="O55" t="s">
        <v>18</v>
      </c>
    </row>
    <row r="56" spans="1:15" ht="18" customHeight="1" x14ac:dyDescent="0.15">
      <c r="A56" t="s">
        <v>18</v>
      </c>
      <c r="B56" t="s">
        <v>18</v>
      </c>
      <c r="C56" s="6" t="s">
        <v>125</v>
      </c>
      <c r="D56" s="7" t="s">
        <v>20</v>
      </c>
      <c r="E56" s="8">
        <v>0.12</v>
      </c>
      <c r="F56" t="s">
        <v>21</v>
      </c>
      <c r="G56" s="9">
        <v>14</v>
      </c>
      <c r="H56" s="10">
        <f>G56*E56</f>
        <v>1.68</v>
      </c>
      <c r="I56" t="s">
        <v>18</v>
      </c>
      <c r="J56" t="s">
        <v>18</v>
      </c>
      <c r="K56" t="s">
        <v>18</v>
      </c>
      <c r="L56" t="s">
        <v>18</v>
      </c>
      <c r="M56" t="s">
        <v>18</v>
      </c>
      <c r="N56" t="s">
        <v>18</v>
      </c>
      <c r="O56" t="s">
        <v>18</v>
      </c>
    </row>
    <row r="57" spans="1:15" ht="18" customHeight="1" x14ac:dyDescent="0.15">
      <c r="A57" t="s">
        <v>18</v>
      </c>
      <c r="B57" t="s">
        <v>18</v>
      </c>
      <c r="C57" s="6" t="s">
        <v>171</v>
      </c>
      <c r="D57" s="7" t="s">
        <v>35</v>
      </c>
      <c r="E57" s="8">
        <v>0.02</v>
      </c>
      <c r="F57" t="s">
        <v>36</v>
      </c>
      <c r="G57" s="9">
        <v>17.940000000000001</v>
      </c>
      <c r="H57" s="10">
        <v>0.35880000000000001</v>
      </c>
      <c r="I57" t="s">
        <v>18</v>
      </c>
      <c r="J57" t="s">
        <v>18</v>
      </c>
      <c r="K57" t="s">
        <v>18</v>
      </c>
      <c r="L57" t="s">
        <v>18</v>
      </c>
      <c r="M57" t="s">
        <v>18</v>
      </c>
      <c r="N57" t="s">
        <v>18</v>
      </c>
      <c r="O57" t="s">
        <v>18</v>
      </c>
    </row>
    <row r="58" spans="1:15" ht="18" customHeight="1" x14ac:dyDescent="0.15">
      <c r="A58" t="s">
        <v>18</v>
      </c>
      <c r="B58" t="s">
        <v>18</v>
      </c>
      <c r="C58" s="6" t="s">
        <v>129</v>
      </c>
      <c r="D58" s="7" t="s">
        <v>20</v>
      </c>
      <c r="E58" s="8">
        <v>0.14000000000000001</v>
      </c>
      <c r="F58" t="s">
        <v>21</v>
      </c>
      <c r="G58" s="9">
        <v>28</v>
      </c>
      <c r="H58" s="10">
        <v>3.9200000000000004</v>
      </c>
      <c r="I58" t="s">
        <v>18</v>
      </c>
      <c r="J58" t="s">
        <v>18</v>
      </c>
      <c r="K58" t="s">
        <v>18</v>
      </c>
      <c r="L58" t="s">
        <v>18</v>
      </c>
      <c r="M58" t="s">
        <v>18</v>
      </c>
      <c r="N58" t="s">
        <v>18</v>
      </c>
      <c r="O58" t="s">
        <v>18</v>
      </c>
    </row>
    <row r="59" spans="1:15" ht="18" customHeight="1" x14ac:dyDescent="0.15">
      <c r="A59" t="s">
        <v>18</v>
      </c>
      <c r="B59" t="s">
        <v>18</v>
      </c>
      <c r="C59" s="6" t="s">
        <v>151</v>
      </c>
      <c r="D59" s="7" t="s">
        <v>35</v>
      </c>
      <c r="E59" s="8">
        <v>0.04</v>
      </c>
      <c r="F59" t="s">
        <v>36</v>
      </c>
      <c r="G59" s="9">
        <v>6.43</v>
      </c>
      <c r="H59" s="10">
        <v>0.25719999999999998</v>
      </c>
      <c r="I59" t="s">
        <v>18</v>
      </c>
      <c r="J59" t="s">
        <v>18</v>
      </c>
      <c r="K59" t="s">
        <v>18</v>
      </c>
      <c r="L59" t="s">
        <v>18</v>
      </c>
      <c r="M59" t="s">
        <v>18</v>
      </c>
      <c r="N59" t="s">
        <v>18</v>
      </c>
      <c r="O59" t="s">
        <v>18</v>
      </c>
    </row>
    <row r="60" spans="1:15" ht="18" customHeight="1" x14ac:dyDescent="0.15">
      <c r="A60" t="s">
        <v>18</v>
      </c>
      <c r="B60" t="s">
        <v>18</v>
      </c>
      <c r="C60" s="6" t="s">
        <v>197</v>
      </c>
      <c r="D60" s="7" t="s">
        <v>20</v>
      </c>
      <c r="E60" s="8">
        <v>0.02</v>
      </c>
      <c r="F60" t="s">
        <v>21</v>
      </c>
      <c r="G60" s="9">
        <v>26</v>
      </c>
      <c r="H60" s="10">
        <v>0.52</v>
      </c>
      <c r="I60" t="s">
        <v>18</v>
      </c>
      <c r="J60" t="s">
        <v>18</v>
      </c>
      <c r="K60" t="s">
        <v>18</v>
      </c>
      <c r="L60" t="s">
        <v>18</v>
      </c>
      <c r="M60" t="s">
        <v>18</v>
      </c>
      <c r="N60" t="s">
        <v>18</v>
      </c>
      <c r="O60" t="s">
        <v>18</v>
      </c>
    </row>
    <row r="61" spans="1:15" ht="18" customHeight="1" x14ac:dyDescent="0.15">
      <c r="A61" t="s">
        <v>18</v>
      </c>
      <c r="B61" t="s">
        <v>18</v>
      </c>
      <c r="C61" s="6" t="s">
        <v>198</v>
      </c>
      <c r="D61" s="7" t="s">
        <v>35</v>
      </c>
      <c r="E61" s="8">
        <v>0.03</v>
      </c>
      <c r="F61" t="s">
        <v>36</v>
      </c>
      <c r="G61" s="9">
        <v>9.74</v>
      </c>
      <c r="H61" s="10">
        <v>0.29220000000000002</v>
      </c>
      <c r="I61" t="s">
        <v>18</v>
      </c>
      <c r="J61" t="s">
        <v>18</v>
      </c>
      <c r="K61" t="s">
        <v>18</v>
      </c>
      <c r="L61" t="s">
        <v>18</v>
      </c>
      <c r="M61" t="s">
        <v>18</v>
      </c>
      <c r="N61" t="s">
        <v>18</v>
      </c>
      <c r="O61" t="s">
        <v>18</v>
      </c>
    </row>
    <row r="62" spans="1:15" ht="18" customHeight="1" x14ac:dyDescent="0.15">
      <c r="A62" t="s">
        <v>18</v>
      </c>
      <c r="B62" t="s">
        <v>18</v>
      </c>
      <c r="C62" s="6" t="s">
        <v>23</v>
      </c>
      <c r="D62" s="7" t="s">
        <v>20</v>
      </c>
      <c r="E62" s="8">
        <v>0.02</v>
      </c>
      <c r="F62" t="s">
        <v>21</v>
      </c>
      <c r="G62" s="9">
        <v>68</v>
      </c>
      <c r="H62" s="10">
        <v>1.36</v>
      </c>
      <c r="I62" t="s">
        <v>18</v>
      </c>
      <c r="J62" t="s">
        <v>18</v>
      </c>
      <c r="K62" t="s">
        <v>18</v>
      </c>
      <c r="L62" t="s">
        <v>18</v>
      </c>
      <c r="M62" t="s">
        <v>18</v>
      </c>
      <c r="N62" t="s">
        <v>18</v>
      </c>
      <c r="O62" t="s">
        <v>18</v>
      </c>
    </row>
    <row r="64" spans="1:15" ht="20" customHeight="1" x14ac:dyDescent="0.15">
      <c r="A64" s="2" t="s">
        <v>199</v>
      </c>
      <c r="B64" s="2" t="s">
        <v>188</v>
      </c>
      <c r="C64" s="2" t="s">
        <v>18</v>
      </c>
      <c r="D64" s="2" t="s">
        <v>18</v>
      </c>
      <c r="E64" s="2" t="s">
        <v>18</v>
      </c>
      <c r="F64" s="2" t="s">
        <v>18</v>
      </c>
      <c r="G64" s="2" t="s">
        <v>18</v>
      </c>
      <c r="H64" s="2" t="s">
        <v>18</v>
      </c>
      <c r="I64" s="3">
        <v>29</v>
      </c>
      <c r="J64" s="3">
        <f>SUM(H65:H72)</f>
        <v>5.3845000000000001</v>
      </c>
      <c r="K64" s="11">
        <f>J64/(I64/1.18)</f>
        <v>0.21909344827586208</v>
      </c>
      <c r="L64" s="5">
        <v>46</v>
      </c>
      <c r="M64" s="3">
        <f>L64*(I64/1.18)</f>
        <v>1130.5084745762713</v>
      </c>
      <c r="N64" s="3">
        <f>L64*J64</f>
        <v>247.68700000000001</v>
      </c>
      <c r="O64" s="4">
        <f>N64/M64</f>
        <v>0.21909344827586205</v>
      </c>
    </row>
    <row r="65" spans="1:15" ht="18" customHeight="1" x14ac:dyDescent="0.15">
      <c r="A65" t="s">
        <v>18</v>
      </c>
      <c r="B65" t="s">
        <v>18</v>
      </c>
      <c r="C65" s="6" t="s">
        <v>30</v>
      </c>
      <c r="D65" s="7" t="s">
        <v>31</v>
      </c>
      <c r="E65" s="8">
        <v>1</v>
      </c>
      <c r="F65" t="s">
        <v>32</v>
      </c>
      <c r="G65" s="9">
        <v>0.7</v>
      </c>
      <c r="H65" s="10">
        <v>0.7</v>
      </c>
      <c r="I65" t="s">
        <v>18</v>
      </c>
      <c r="J65" t="s">
        <v>18</v>
      </c>
      <c r="K65" t="s">
        <v>18</v>
      </c>
      <c r="L65" t="s">
        <v>18</v>
      </c>
      <c r="M65" t="s">
        <v>18</v>
      </c>
      <c r="N65" t="s">
        <v>18</v>
      </c>
      <c r="O65" t="s">
        <v>18</v>
      </c>
    </row>
    <row r="66" spans="1:15" ht="18" customHeight="1" x14ac:dyDescent="0.15">
      <c r="A66" t="s">
        <v>18</v>
      </c>
      <c r="B66" t="s">
        <v>18</v>
      </c>
      <c r="C66" s="6" t="s">
        <v>125</v>
      </c>
      <c r="D66" s="7" t="s">
        <v>20</v>
      </c>
      <c r="E66" s="8">
        <v>0.08</v>
      </c>
      <c r="F66" t="s">
        <v>21</v>
      </c>
      <c r="G66" s="9">
        <v>14</v>
      </c>
      <c r="H66" s="10">
        <f>G66*E66</f>
        <v>1.1200000000000001</v>
      </c>
      <c r="I66" t="s">
        <v>18</v>
      </c>
      <c r="J66" t="s">
        <v>18</v>
      </c>
      <c r="K66" t="s">
        <v>18</v>
      </c>
      <c r="L66" t="s">
        <v>18</v>
      </c>
      <c r="M66" t="s">
        <v>18</v>
      </c>
      <c r="N66" t="s">
        <v>18</v>
      </c>
      <c r="O66" t="s">
        <v>18</v>
      </c>
    </row>
    <row r="67" spans="1:15" ht="18" customHeight="1" x14ac:dyDescent="0.15">
      <c r="A67" t="s">
        <v>18</v>
      </c>
      <c r="B67" t="s">
        <v>18</v>
      </c>
      <c r="C67" s="6" t="s">
        <v>171</v>
      </c>
      <c r="D67" s="7" t="s">
        <v>35</v>
      </c>
      <c r="E67" s="8">
        <v>0.01</v>
      </c>
      <c r="F67" t="s">
        <v>36</v>
      </c>
      <c r="G67" s="9">
        <v>17.940000000000001</v>
      </c>
      <c r="H67" s="10">
        <v>0.1794</v>
      </c>
      <c r="I67" t="s">
        <v>18</v>
      </c>
      <c r="J67" t="s">
        <v>18</v>
      </c>
      <c r="K67" t="s">
        <v>18</v>
      </c>
      <c r="L67" t="s">
        <v>18</v>
      </c>
      <c r="M67" t="s">
        <v>18</v>
      </c>
      <c r="N67" t="s">
        <v>18</v>
      </c>
      <c r="O67" t="s">
        <v>18</v>
      </c>
    </row>
    <row r="68" spans="1:15" ht="18" customHeight="1" x14ac:dyDescent="0.15">
      <c r="A68" t="s">
        <v>18</v>
      </c>
      <c r="B68" t="s">
        <v>18</v>
      </c>
      <c r="C68" s="6" t="s">
        <v>129</v>
      </c>
      <c r="D68" s="7" t="s">
        <v>20</v>
      </c>
      <c r="E68" s="8">
        <v>7.0000000000000007E-2</v>
      </c>
      <c r="F68" t="s">
        <v>21</v>
      </c>
      <c r="G68" s="9">
        <v>28</v>
      </c>
      <c r="H68" s="10">
        <v>1.9600000000000002</v>
      </c>
      <c r="I68" t="s">
        <v>18</v>
      </c>
      <c r="J68" t="s">
        <v>18</v>
      </c>
      <c r="K68" t="s">
        <v>18</v>
      </c>
      <c r="L68" t="s">
        <v>18</v>
      </c>
      <c r="M68" t="s">
        <v>18</v>
      </c>
      <c r="N68" t="s">
        <v>18</v>
      </c>
      <c r="O68" t="s">
        <v>18</v>
      </c>
    </row>
    <row r="69" spans="1:15" ht="18" customHeight="1" x14ac:dyDescent="0.15">
      <c r="A69" t="s">
        <v>18</v>
      </c>
      <c r="B69" t="s">
        <v>18</v>
      </c>
      <c r="C69" s="6" t="s">
        <v>151</v>
      </c>
      <c r="D69" s="7" t="s">
        <v>35</v>
      </c>
      <c r="E69" s="8">
        <v>0.03</v>
      </c>
      <c r="F69" t="s">
        <v>36</v>
      </c>
      <c r="G69" s="9">
        <v>6.43</v>
      </c>
      <c r="H69" s="10">
        <v>0.19289999999999999</v>
      </c>
      <c r="I69" t="s">
        <v>18</v>
      </c>
      <c r="J69" t="s">
        <v>18</v>
      </c>
      <c r="K69" t="s">
        <v>18</v>
      </c>
      <c r="L69" t="s">
        <v>18</v>
      </c>
      <c r="M69" t="s">
        <v>18</v>
      </c>
      <c r="N69" t="s">
        <v>18</v>
      </c>
      <c r="O69" t="s">
        <v>18</v>
      </c>
    </row>
    <row r="70" spans="1:15" ht="18" customHeight="1" x14ac:dyDescent="0.15">
      <c r="A70" t="s">
        <v>18</v>
      </c>
      <c r="B70" t="s">
        <v>18</v>
      </c>
      <c r="C70" s="6" t="s">
        <v>197</v>
      </c>
      <c r="D70" s="7" t="s">
        <v>20</v>
      </c>
      <c r="E70" s="8">
        <v>0.01</v>
      </c>
      <c r="F70" t="s">
        <v>21</v>
      </c>
      <c r="G70" s="9">
        <v>26</v>
      </c>
      <c r="H70" s="10">
        <v>0.26</v>
      </c>
      <c r="I70" t="s">
        <v>18</v>
      </c>
      <c r="J70" t="s">
        <v>18</v>
      </c>
      <c r="K70" t="s">
        <v>18</v>
      </c>
      <c r="L70" t="s">
        <v>18</v>
      </c>
      <c r="M70" t="s">
        <v>18</v>
      </c>
      <c r="N70" t="s">
        <v>18</v>
      </c>
      <c r="O70" t="s">
        <v>18</v>
      </c>
    </row>
    <row r="71" spans="1:15" ht="18" customHeight="1" x14ac:dyDescent="0.15">
      <c r="A71" t="s">
        <v>18</v>
      </c>
      <c r="B71" t="s">
        <v>18</v>
      </c>
      <c r="C71" s="6" t="s">
        <v>198</v>
      </c>
      <c r="D71" s="7" t="s">
        <v>35</v>
      </c>
      <c r="E71" s="8">
        <v>0.03</v>
      </c>
      <c r="F71" t="s">
        <v>36</v>
      </c>
      <c r="G71" s="9">
        <v>9.74</v>
      </c>
      <c r="H71" s="10">
        <v>0.29220000000000002</v>
      </c>
      <c r="I71" t="s">
        <v>18</v>
      </c>
      <c r="J71" t="s">
        <v>18</v>
      </c>
      <c r="K71" t="s">
        <v>18</v>
      </c>
      <c r="L71" t="s">
        <v>18</v>
      </c>
      <c r="M71" t="s">
        <v>18</v>
      </c>
      <c r="N71" t="s">
        <v>18</v>
      </c>
      <c r="O71" t="s">
        <v>18</v>
      </c>
    </row>
    <row r="72" spans="1:15" ht="18" customHeight="1" x14ac:dyDescent="0.15">
      <c r="A72" t="s">
        <v>18</v>
      </c>
      <c r="B72" t="s">
        <v>18</v>
      </c>
      <c r="C72" s="6" t="s">
        <v>23</v>
      </c>
      <c r="D72" s="7" t="s">
        <v>20</v>
      </c>
      <c r="E72" s="8">
        <v>0.01</v>
      </c>
      <c r="F72" t="s">
        <v>21</v>
      </c>
      <c r="G72" s="9">
        <v>68</v>
      </c>
      <c r="H72" s="10">
        <v>0.68</v>
      </c>
      <c r="I72" t="s">
        <v>18</v>
      </c>
      <c r="J72" t="s">
        <v>18</v>
      </c>
      <c r="K72" t="s">
        <v>18</v>
      </c>
      <c r="L72" t="s">
        <v>18</v>
      </c>
      <c r="M72" t="s">
        <v>18</v>
      </c>
      <c r="N72" t="s">
        <v>18</v>
      </c>
      <c r="O72" t="s">
        <v>18</v>
      </c>
    </row>
    <row r="74" spans="1:15" ht="20" customHeight="1" x14ac:dyDescent="0.15">
      <c r="A74" s="2" t="s">
        <v>257</v>
      </c>
      <c r="B74" s="2" t="s">
        <v>188</v>
      </c>
      <c r="C74" s="2" t="s">
        <v>18</v>
      </c>
      <c r="D74" s="2" t="s">
        <v>18</v>
      </c>
      <c r="E74" s="2" t="s">
        <v>18</v>
      </c>
      <c r="F74" s="2" t="s">
        <v>18</v>
      </c>
      <c r="G74" s="2" t="s">
        <v>18</v>
      </c>
      <c r="H74" s="2" t="s">
        <v>18</v>
      </c>
      <c r="I74" s="3">
        <v>35</v>
      </c>
      <c r="J74" s="3">
        <f>SUM(H75:H82)</f>
        <v>8.8105999999999991</v>
      </c>
      <c r="K74" s="11">
        <f>J74/(I74/1.18)</f>
        <v>0.29704308571428567</v>
      </c>
      <c r="L74" s="5">
        <v>413</v>
      </c>
      <c r="M74" s="3">
        <f>L74*(I74/1.18)</f>
        <v>12250</v>
      </c>
      <c r="N74" s="3">
        <f>L74*J74</f>
        <v>3638.7777999999998</v>
      </c>
      <c r="O74" s="4">
        <f>N74/M74</f>
        <v>0.29704308571428573</v>
      </c>
    </row>
    <row r="75" spans="1:15" ht="18" customHeight="1" x14ac:dyDescent="0.15">
      <c r="A75" t="s">
        <v>18</v>
      </c>
      <c r="B75" t="s">
        <v>18</v>
      </c>
      <c r="C75" s="6" t="s">
        <v>149</v>
      </c>
      <c r="D75" s="7" t="s">
        <v>20</v>
      </c>
      <c r="E75" s="8">
        <v>0.05</v>
      </c>
      <c r="F75" t="s">
        <v>21</v>
      </c>
      <c r="G75" s="9">
        <v>5</v>
      </c>
      <c r="H75" s="10">
        <v>0.27500000000000002</v>
      </c>
      <c r="I75" t="s">
        <v>18</v>
      </c>
      <c r="J75" t="s">
        <v>18</v>
      </c>
      <c r="K75" t="s">
        <v>18</v>
      </c>
      <c r="L75" t="s">
        <v>18</v>
      </c>
      <c r="M75" t="s">
        <v>18</v>
      </c>
      <c r="N75" t="s">
        <v>18</v>
      </c>
      <c r="O75" t="s">
        <v>18</v>
      </c>
    </row>
    <row r="76" spans="1:15" ht="18" customHeight="1" x14ac:dyDescent="0.15">
      <c r="A76" t="s">
        <v>18</v>
      </c>
      <c r="B76" t="s">
        <v>18</v>
      </c>
      <c r="C76" s="6" t="s">
        <v>150</v>
      </c>
      <c r="D76" s="7" t="s">
        <v>35</v>
      </c>
      <c r="E76" s="8">
        <v>0.24</v>
      </c>
      <c r="F76" t="s">
        <v>36</v>
      </c>
      <c r="G76" s="9">
        <v>15.74</v>
      </c>
      <c r="H76" s="10">
        <f>G76*E76</f>
        <v>3.7776000000000001</v>
      </c>
      <c r="I76" t="s">
        <v>18</v>
      </c>
      <c r="J76" t="s">
        <v>18</v>
      </c>
      <c r="K76" t="s">
        <v>18</v>
      </c>
      <c r="L76" t="s">
        <v>18</v>
      </c>
      <c r="M76" t="s">
        <v>18</v>
      </c>
      <c r="N76" t="s">
        <v>18</v>
      </c>
      <c r="O76" t="s">
        <v>18</v>
      </c>
    </row>
    <row r="77" spans="1:15" ht="18" customHeight="1" x14ac:dyDescent="0.15">
      <c r="A77" t="s">
        <v>18</v>
      </c>
      <c r="B77" t="s">
        <v>18</v>
      </c>
      <c r="C77" s="6" t="s">
        <v>151</v>
      </c>
      <c r="D77" s="7" t="s">
        <v>35</v>
      </c>
      <c r="E77" s="8">
        <v>0.1</v>
      </c>
      <c r="F77" t="s">
        <v>36</v>
      </c>
      <c r="G77" s="9">
        <v>6.43</v>
      </c>
      <c r="H77" s="10">
        <v>0.64300000000000002</v>
      </c>
      <c r="I77" t="s">
        <v>18</v>
      </c>
      <c r="J77" t="s">
        <v>18</v>
      </c>
      <c r="K77" t="s">
        <v>18</v>
      </c>
      <c r="L77" t="s">
        <v>18</v>
      </c>
      <c r="M77" t="s">
        <v>18</v>
      </c>
      <c r="N77" t="s">
        <v>18</v>
      </c>
      <c r="O77" t="s">
        <v>18</v>
      </c>
    </row>
    <row r="78" spans="1:15" ht="18" customHeight="1" x14ac:dyDescent="0.15">
      <c r="A78" t="s">
        <v>18</v>
      </c>
      <c r="B78" t="s">
        <v>18</v>
      </c>
      <c r="C78" s="6" t="s">
        <v>152</v>
      </c>
      <c r="D78" s="7" t="s">
        <v>20</v>
      </c>
      <c r="E78" s="8">
        <v>0.02</v>
      </c>
      <c r="F78" t="s">
        <v>21</v>
      </c>
      <c r="G78" s="9">
        <v>23</v>
      </c>
      <c r="H78" s="10">
        <v>0.46</v>
      </c>
      <c r="I78" t="s">
        <v>18</v>
      </c>
      <c r="J78" t="s">
        <v>18</v>
      </c>
      <c r="K78" t="s">
        <v>18</v>
      </c>
      <c r="L78" t="s">
        <v>18</v>
      </c>
      <c r="M78" t="s">
        <v>18</v>
      </c>
      <c r="N78" t="s">
        <v>18</v>
      </c>
      <c r="O78" t="s">
        <v>18</v>
      </c>
    </row>
    <row r="79" spans="1:15" ht="18" customHeight="1" x14ac:dyDescent="0.15">
      <c r="A79" t="s">
        <v>18</v>
      </c>
      <c r="B79" t="s">
        <v>18</v>
      </c>
      <c r="C79" s="6" t="s">
        <v>153</v>
      </c>
      <c r="D79" s="7" t="s">
        <v>20</v>
      </c>
      <c r="E79" s="8">
        <v>0.04</v>
      </c>
      <c r="F79" t="s">
        <v>21</v>
      </c>
      <c r="G79" s="9">
        <v>18.899999999999999</v>
      </c>
      <c r="H79" s="10">
        <v>0.75600000000000001</v>
      </c>
      <c r="I79" t="s">
        <v>18</v>
      </c>
      <c r="J79" t="s">
        <v>18</v>
      </c>
      <c r="K79" t="s">
        <v>18</v>
      </c>
      <c r="L79" t="s">
        <v>18</v>
      </c>
      <c r="M79" t="s">
        <v>18</v>
      </c>
      <c r="N79" t="s">
        <v>18</v>
      </c>
      <c r="O79" t="s">
        <v>18</v>
      </c>
    </row>
    <row r="80" spans="1:15" ht="18" customHeight="1" x14ac:dyDescent="0.15">
      <c r="A80" t="s">
        <v>18</v>
      </c>
      <c r="B80" t="s">
        <v>18</v>
      </c>
      <c r="C80" s="6" t="s">
        <v>143</v>
      </c>
      <c r="D80" s="7" t="s">
        <v>20</v>
      </c>
      <c r="E80" s="8">
        <v>0.01</v>
      </c>
      <c r="F80" t="s">
        <v>21</v>
      </c>
      <c r="G80" s="9">
        <v>5.5</v>
      </c>
      <c r="H80" s="10">
        <v>5.5E-2</v>
      </c>
      <c r="I80" t="s">
        <v>18</v>
      </c>
      <c r="J80" t="s">
        <v>18</v>
      </c>
      <c r="K80" t="s">
        <v>18</v>
      </c>
      <c r="L80" t="s">
        <v>18</v>
      </c>
      <c r="M80" t="s">
        <v>18</v>
      </c>
      <c r="N80" t="s">
        <v>18</v>
      </c>
      <c r="O80" t="s">
        <v>18</v>
      </c>
    </row>
    <row r="81" spans="1:15" ht="18" customHeight="1" x14ac:dyDescent="0.15">
      <c r="A81" t="s">
        <v>18</v>
      </c>
      <c r="B81" t="s">
        <v>18</v>
      </c>
      <c r="C81" s="6" t="s">
        <v>154</v>
      </c>
      <c r="D81" s="7" t="s">
        <v>20</v>
      </c>
      <c r="E81" s="8">
        <v>0.08</v>
      </c>
      <c r="F81" t="s">
        <v>21</v>
      </c>
      <c r="G81" s="9">
        <v>26.8</v>
      </c>
      <c r="H81" s="10">
        <v>2.1440000000000001</v>
      </c>
      <c r="I81" t="s">
        <v>18</v>
      </c>
      <c r="J81" t="s">
        <v>18</v>
      </c>
      <c r="K81" t="s">
        <v>18</v>
      </c>
      <c r="L81" t="s">
        <v>18</v>
      </c>
      <c r="M81" t="s">
        <v>18</v>
      </c>
      <c r="N81" t="s">
        <v>18</v>
      </c>
      <c r="O81" t="s">
        <v>18</v>
      </c>
    </row>
    <row r="82" spans="1:15" ht="18" customHeight="1" x14ac:dyDescent="0.15">
      <c r="A82" t="s">
        <v>18</v>
      </c>
      <c r="B82" t="s">
        <v>18</v>
      </c>
      <c r="C82" s="6" t="s">
        <v>30</v>
      </c>
      <c r="D82" s="7" t="s">
        <v>31</v>
      </c>
      <c r="E82" s="8">
        <v>1</v>
      </c>
      <c r="F82" t="s">
        <v>32</v>
      </c>
      <c r="G82" s="9">
        <v>0.7</v>
      </c>
      <c r="H82" s="10">
        <v>0.7</v>
      </c>
      <c r="I82" t="s">
        <v>18</v>
      </c>
      <c r="J82" t="s">
        <v>18</v>
      </c>
      <c r="K82" t="s">
        <v>18</v>
      </c>
      <c r="L82" t="s">
        <v>18</v>
      </c>
      <c r="M82" t="s">
        <v>18</v>
      </c>
      <c r="N82" t="s">
        <v>18</v>
      </c>
      <c r="O82" t="s">
        <v>18</v>
      </c>
    </row>
    <row r="84" spans="1:15" ht="20" customHeight="1" x14ac:dyDescent="0.15">
      <c r="A84" s="2" t="s">
        <v>258</v>
      </c>
      <c r="B84" s="2" t="s">
        <v>188</v>
      </c>
      <c r="C84" s="2" t="s">
        <v>18</v>
      </c>
      <c r="D84" s="2" t="s">
        <v>18</v>
      </c>
      <c r="E84" s="2" t="s">
        <v>18</v>
      </c>
      <c r="F84" s="2" t="s">
        <v>18</v>
      </c>
      <c r="G84" s="2" t="s">
        <v>18</v>
      </c>
      <c r="H84" s="2" t="s">
        <v>18</v>
      </c>
      <c r="I84" s="3">
        <v>25</v>
      </c>
      <c r="J84" s="3">
        <f>SUM(H85:H92)</f>
        <v>5.485100000000001</v>
      </c>
      <c r="K84" s="11">
        <f>J84/(I84/1.18)</f>
        <v>0.25889672000000002</v>
      </c>
      <c r="L84" s="5">
        <v>601</v>
      </c>
      <c r="M84" s="3">
        <f>L84*(I84/1.18)</f>
        <v>12733.050847457629</v>
      </c>
      <c r="N84" s="3">
        <f>L84*J84</f>
        <v>3296.5451000000007</v>
      </c>
      <c r="O84" s="4">
        <f>N84/M84</f>
        <v>0.25889672000000002</v>
      </c>
    </row>
    <row r="85" spans="1:15" ht="18" customHeight="1" x14ac:dyDescent="0.15">
      <c r="A85" t="s">
        <v>18</v>
      </c>
      <c r="B85" t="s">
        <v>18</v>
      </c>
      <c r="C85" s="6" t="s">
        <v>149</v>
      </c>
      <c r="D85" s="7" t="s">
        <v>20</v>
      </c>
      <c r="E85" s="8">
        <v>0.03</v>
      </c>
      <c r="F85" t="s">
        <v>21</v>
      </c>
      <c r="G85" s="9">
        <v>5</v>
      </c>
      <c r="H85" s="10">
        <v>0.16500000000000001</v>
      </c>
      <c r="I85" t="s">
        <v>18</v>
      </c>
      <c r="J85" t="s">
        <v>18</v>
      </c>
      <c r="K85" t="s">
        <v>18</v>
      </c>
      <c r="L85" t="s">
        <v>18</v>
      </c>
      <c r="M85" t="s">
        <v>18</v>
      </c>
      <c r="N85" t="s">
        <v>18</v>
      </c>
      <c r="O85" t="s">
        <v>18</v>
      </c>
    </row>
    <row r="86" spans="1:15" ht="18" customHeight="1" x14ac:dyDescent="0.15">
      <c r="A86" t="s">
        <v>18</v>
      </c>
      <c r="B86" t="s">
        <v>18</v>
      </c>
      <c r="C86" s="6" t="s">
        <v>150</v>
      </c>
      <c r="D86" s="7" t="s">
        <v>35</v>
      </c>
      <c r="E86" s="8">
        <v>0.13</v>
      </c>
      <c r="F86" t="s">
        <v>36</v>
      </c>
      <c r="G86" s="9">
        <v>15.74</v>
      </c>
      <c r="H86" s="10">
        <f>G86*E86</f>
        <v>2.0462000000000002</v>
      </c>
      <c r="I86" t="s">
        <v>18</v>
      </c>
      <c r="J86" t="s">
        <v>18</v>
      </c>
      <c r="K86" t="s">
        <v>18</v>
      </c>
      <c r="L86" t="s">
        <v>18</v>
      </c>
      <c r="M86" t="s">
        <v>18</v>
      </c>
      <c r="N86" t="s">
        <v>18</v>
      </c>
      <c r="O86" t="s">
        <v>18</v>
      </c>
    </row>
    <row r="87" spans="1:15" ht="18" customHeight="1" x14ac:dyDescent="0.15">
      <c r="A87" t="s">
        <v>18</v>
      </c>
      <c r="B87" t="s">
        <v>18</v>
      </c>
      <c r="C87" s="6" t="s">
        <v>151</v>
      </c>
      <c r="D87" s="7" t="s">
        <v>35</v>
      </c>
      <c r="E87" s="8">
        <v>0.03</v>
      </c>
      <c r="F87" t="s">
        <v>36</v>
      </c>
      <c r="G87" s="9">
        <v>6.43</v>
      </c>
      <c r="H87" s="10">
        <v>0.19289999999999999</v>
      </c>
      <c r="I87" t="s">
        <v>18</v>
      </c>
      <c r="J87" t="s">
        <v>18</v>
      </c>
      <c r="K87" t="s">
        <v>18</v>
      </c>
      <c r="L87" t="s">
        <v>18</v>
      </c>
      <c r="M87" t="s">
        <v>18</v>
      </c>
      <c r="N87" t="s">
        <v>18</v>
      </c>
      <c r="O87" t="s">
        <v>18</v>
      </c>
    </row>
    <row r="88" spans="1:15" ht="18" customHeight="1" x14ac:dyDescent="0.15">
      <c r="A88" t="s">
        <v>18</v>
      </c>
      <c r="B88" t="s">
        <v>18</v>
      </c>
      <c r="C88" s="6" t="s">
        <v>152</v>
      </c>
      <c r="D88" s="7" t="s">
        <v>20</v>
      </c>
      <c r="E88" s="8">
        <v>0.01</v>
      </c>
      <c r="F88" t="s">
        <v>21</v>
      </c>
      <c r="G88" s="9">
        <v>23</v>
      </c>
      <c r="H88" s="10">
        <v>0.23</v>
      </c>
      <c r="I88" t="s">
        <v>18</v>
      </c>
      <c r="J88" t="s">
        <v>18</v>
      </c>
      <c r="K88" t="s">
        <v>18</v>
      </c>
      <c r="L88" t="s">
        <v>18</v>
      </c>
      <c r="M88" t="s">
        <v>18</v>
      </c>
      <c r="N88" t="s">
        <v>18</v>
      </c>
      <c r="O88" t="s">
        <v>18</v>
      </c>
    </row>
    <row r="89" spans="1:15" ht="18" customHeight="1" x14ac:dyDescent="0.15">
      <c r="A89" t="s">
        <v>18</v>
      </c>
      <c r="B89" t="s">
        <v>18</v>
      </c>
      <c r="C89" s="6" t="s">
        <v>153</v>
      </c>
      <c r="D89" s="7" t="s">
        <v>20</v>
      </c>
      <c r="E89" s="8">
        <v>0.04</v>
      </c>
      <c r="F89" t="s">
        <v>21</v>
      </c>
      <c r="G89" s="9">
        <v>18.899999999999999</v>
      </c>
      <c r="H89" s="10">
        <v>0.75600000000000001</v>
      </c>
      <c r="I89" t="s">
        <v>18</v>
      </c>
      <c r="J89" t="s">
        <v>18</v>
      </c>
      <c r="K89" t="s">
        <v>18</v>
      </c>
      <c r="L89" t="s">
        <v>18</v>
      </c>
      <c r="M89" t="s">
        <v>18</v>
      </c>
      <c r="N89" t="s">
        <v>18</v>
      </c>
      <c r="O89" t="s">
        <v>18</v>
      </c>
    </row>
    <row r="90" spans="1:15" ht="18" customHeight="1" x14ac:dyDescent="0.15">
      <c r="A90" t="s">
        <v>18</v>
      </c>
      <c r="B90" t="s">
        <v>18</v>
      </c>
      <c r="C90" s="6" t="s">
        <v>143</v>
      </c>
      <c r="D90" s="7" t="s">
        <v>20</v>
      </c>
      <c r="E90" s="8">
        <v>0.01</v>
      </c>
      <c r="F90" t="s">
        <v>21</v>
      </c>
      <c r="G90" s="9">
        <v>5.5</v>
      </c>
      <c r="H90" s="10">
        <v>5.5E-2</v>
      </c>
      <c r="I90" t="s">
        <v>18</v>
      </c>
      <c r="J90" t="s">
        <v>18</v>
      </c>
      <c r="K90" t="s">
        <v>18</v>
      </c>
      <c r="L90" t="s">
        <v>18</v>
      </c>
      <c r="M90" t="s">
        <v>18</v>
      </c>
      <c r="N90" t="s">
        <v>18</v>
      </c>
      <c r="O90" t="s">
        <v>18</v>
      </c>
    </row>
    <row r="91" spans="1:15" ht="18" customHeight="1" x14ac:dyDescent="0.15">
      <c r="A91" t="s">
        <v>18</v>
      </c>
      <c r="B91" t="s">
        <v>18</v>
      </c>
      <c r="C91" s="6" t="s">
        <v>154</v>
      </c>
      <c r="D91" s="7" t="s">
        <v>20</v>
      </c>
      <c r="E91" s="8">
        <v>0.05</v>
      </c>
      <c r="F91" t="s">
        <v>21</v>
      </c>
      <c r="G91" s="9">
        <v>26.8</v>
      </c>
      <c r="H91" s="10">
        <v>1.34</v>
      </c>
      <c r="I91" t="s">
        <v>18</v>
      </c>
      <c r="J91" t="s">
        <v>18</v>
      </c>
      <c r="K91" t="s">
        <v>18</v>
      </c>
      <c r="L91" t="s">
        <v>18</v>
      </c>
      <c r="M91" t="s">
        <v>18</v>
      </c>
      <c r="N91" t="s">
        <v>18</v>
      </c>
      <c r="O91" t="s">
        <v>18</v>
      </c>
    </row>
    <row r="92" spans="1:15" ht="18" customHeight="1" x14ac:dyDescent="0.15">
      <c r="A92" t="s">
        <v>18</v>
      </c>
      <c r="B92" t="s">
        <v>18</v>
      </c>
      <c r="C92" s="6" t="s">
        <v>30</v>
      </c>
      <c r="D92" s="7" t="s">
        <v>31</v>
      </c>
      <c r="E92" s="8">
        <v>1</v>
      </c>
      <c r="F92" t="s">
        <v>32</v>
      </c>
      <c r="G92" s="9">
        <v>0.7</v>
      </c>
      <c r="H92" s="10">
        <v>0.7</v>
      </c>
      <c r="I92" t="s">
        <v>18</v>
      </c>
      <c r="J92" t="s">
        <v>18</v>
      </c>
      <c r="K92" t="s">
        <v>18</v>
      </c>
      <c r="L92" t="s">
        <v>18</v>
      </c>
      <c r="M92" t="s">
        <v>18</v>
      </c>
      <c r="N92" t="s">
        <v>18</v>
      </c>
      <c r="O92" t="s">
        <v>18</v>
      </c>
    </row>
    <row r="94" spans="1:15" ht="20" customHeight="1" x14ac:dyDescent="0.15">
      <c r="A94" s="2" t="s">
        <v>200</v>
      </c>
      <c r="B94" s="2" t="s">
        <v>188</v>
      </c>
      <c r="C94" s="2" t="s">
        <v>18</v>
      </c>
      <c r="D94" s="2" t="s">
        <v>18</v>
      </c>
      <c r="E94" s="2" t="s">
        <v>18</v>
      </c>
      <c r="F94" s="2" t="s">
        <v>18</v>
      </c>
      <c r="G94" s="2" t="s">
        <v>18</v>
      </c>
      <c r="H94" s="2" t="s">
        <v>18</v>
      </c>
      <c r="I94" s="3">
        <v>38</v>
      </c>
      <c r="J94" s="3">
        <v>7.8062821869488532</v>
      </c>
      <c r="K94" s="11">
        <v>0.24240560475262229</v>
      </c>
      <c r="L94" s="5">
        <v>383</v>
      </c>
      <c r="M94" s="3">
        <f>L94*(I94/1.18)</f>
        <v>12333.898305084747</v>
      </c>
      <c r="N94" s="3">
        <f>L94*J94</f>
        <v>2989.8060776014108</v>
      </c>
      <c r="O94" s="4">
        <f>N94/M94</f>
        <v>0.24240560475262227</v>
      </c>
    </row>
    <row r="95" spans="1:15" ht="18" customHeight="1" x14ac:dyDescent="0.15">
      <c r="A95" t="s">
        <v>18</v>
      </c>
      <c r="B95" t="s">
        <v>18</v>
      </c>
      <c r="C95" s="6" t="s">
        <v>156</v>
      </c>
      <c r="D95" s="7" t="s">
        <v>35</v>
      </c>
      <c r="E95" s="8">
        <v>0.6</v>
      </c>
      <c r="F95" t="s">
        <v>36</v>
      </c>
      <c r="G95" s="9">
        <v>10.61</v>
      </c>
      <c r="H95" s="10">
        <v>6.3659999999999997</v>
      </c>
      <c r="I95" t="s">
        <v>18</v>
      </c>
      <c r="J95" t="s">
        <v>18</v>
      </c>
      <c r="K95" t="s">
        <v>18</v>
      </c>
      <c r="L95" t="s">
        <v>18</v>
      </c>
      <c r="M95" t="s">
        <v>18</v>
      </c>
      <c r="N95" t="s">
        <v>18</v>
      </c>
      <c r="O95" t="s">
        <v>18</v>
      </c>
    </row>
    <row r="96" spans="1:15" ht="18" customHeight="1" x14ac:dyDescent="0.15">
      <c r="A96" t="s">
        <v>18</v>
      </c>
      <c r="B96" t="s">
        <v>18</v>
      </c>
      <c r="C96" s="6" t="s">
        <v>157</v>
      </c>
      <c r="D96" s="7" t="s">
        <v>20</v>
      </c>
      <c r="E96" s="8">
        <v>0.01</v>
      </c>
      <c r="F96" t="s">
        <v>21</v>
      </c>
      <c r="G96" s="9">
        <v>22.028218694885364</v>
      </c>
      <c r="H96" s="10">
        <v>0.22028218694885365</v>
      </c>
      <c r="I96" t="s">
        <v>18</v>
      </c>
      <c r="J96" t="s">
        <v>18</v>
      </c>
      <c r="K96" t="s">
        <v>18</v>
      </c>
      <c r="L96" t="s">
        <v>18</v>
      </c>
      <c r="M96" t="s">
        <v>18</v>
      </c>
      <c r="N96" t="s">
        <v>18</v>
      </c>
      <c r="O96" t="s">
        <v>18</v>
      </c>
    </row>
    <row r="97" spans="1:15" ht="18" customHeight="1" x14ac:dyDescent="0.15">
      <c r="A97" t="s">
        <v>18</v>
      </c>
      <c r="B97" t="s">
        <v>18</v>
      </c>
      <c r="C97" s="6" t="s">
        <v>158</v>
      </c>
      <c r="D97" s="7" t="s">
        <v>20</v>
      </c>
      <c r="E97" s="8">
        <v>0.01</v>
      </c>
      <c r="F97" t="s">
        <v>21</v>
      </c>
      <c r="G97" s="9">
        <v>52</v>
      </c>
      <c r="H97" s="10">
        <v>0.52</v>
      </c>
      <c r="I97" t="s">
        <v>18</v>
      </c>
      <c r="J97" t="s">
        <v>18</v>
      </c>
      <c r="K97" t="s">
        <v>18</v>
      </c>
      <c r="L97" t="s">
        <v>18</v>
      </c>
      <c r="M97" t="s">
        <v>18</v>
      </c>
      <c r="N97" t="s">
        <v>18</v>
      </c>
      <c r="O97" t="s">
        <v>18</v>
      </c>
    </row>
    <row r="98" spans="1:15" ht="18" customHeight="1" x14ac:dyDescent="0.15">
      <c r="A98" t="s">
        <v>18</v>
      </c>
      <c r="B98" t="s">
        <v>18</v>
      </c>
      <c r="C98" s="6" t="s">
        <v>30</v>
      </c>
      <c r="D98" s="7" t="s">
        <v>31</v>
      </c>
      <c r="E98" s="8">
        <v>1</v>
      </c>
      <c r="F98" t="s">
        <v>32</v>
      </c>
      <c r="G98" s="9">
        <v>0.7</v>
      </c>
      <c r="H98" s="10">
        <v>0.7</v>
      </c>
      <c r="I98" t="s">
        <v>18</v>
      </c>
      <c r="J98" t="s">
        <v>18</v>
      </c>
      <c r="K98" t="s">
        <v>18</v>
      </c>
      <c r="L98" t="s">
        <v>18</v>
      </c>
      <c r="M98" t="s">
        <v>18</v>
      </c>
      <c r="N98" t="s">
        <v>18</v>
      </c>
      <c r="O98" t="s">
        <v>18</v>
      </c>
    </row>
    <row r="100" spans="1:15" ht="20" customHeight="1" x14ac:dyDescent="0.15">
      <c r="A100" s="2" t="s">
        <v>201</v>
      </c>
      <c r="B100" s="2" t="s">
        <v>188</v>
      </c>
      <c r="C100" s="2" t="s">
        <v>18</v>
      </c>
      <c r="D100" s="2" t="s">
        <v>18</v>
      </c>
      <c r="E100" s="2" t="s">
        <v>18</v>
      </c>
      <c r="F100" s="2" t="s">
        <v>18</v>
      </c>
      <c r="G100" s="2" t="s">
        <v>18</v>
      </c>
      <c r="H100" s="2" t="s">
        <v>18</v>
      </c>
      <c r="I100" s="3">
        <v>44</v>
      </c>
      <c r="J100" s="3">
        <f>SUM(H101:H110)</f>
        <v>11.116100000000001</v>
      </c>
      <c r="K100" s="11">
        <f>J100/(I100/1.18)</f>
        <v>0.29811359090909095</v>
      </c>
      <c r="L100" s="5">
        <v>152</v>
      </c>
      <c r="M100" s="3">
        <f>L100*(I100/1.18)</f>
        <v>5667.7966101694919</v>
      </c>
      <c r="N100" s="3">
        <f>L100*J100</f>
        <v>1689.6472000000001</v>
      </c>
      <c r="O100" s="4">
        <f>N100/M100</f>
        <v>0.2981135909090909</v>
      </c>
    </row>
    <row r="101" spans="1:15" ht="18" customHeight="1" x14ac:dyDescent="0.15">
      <c r="A101" t="s">
        <v>18</v>
      </c>
      <c r="B101" t="s">
        <v>18</v>
      </c>
      <c r="C101" s="6" t="s">
        <v>150</v>
      </c>
      <c r="D101" s="7" t="s">
        <v>35</v>
      </c>
      <c r="E101" s="8">
        <v>0.24</v>
      </c>
      <c r="F101" t="s">
        <v>36</v>
      </c>
      <c r="G101" s="9">
        <v>15.74</v>
      </c>
      <c r="H101" s="10">
        <f>G101*E101</f>
        <v>3.7776000000000001</v>
      </c>
      <c r="I101" t="s">
        <v>18</v>
      </c>
      <c r="J101" t="s">
        <v>18</v>
      </c>
      <c r="K101" t="s">
        <v>18</v>
      </c>
      <c r="L101" t="s">
        <v>18</v>
      </c>
      <c r="M101" t="s">
        <v>18</v>
      </c>
      <c r="N101" t="s">
        <v>18</v>
      </c>
      <c r="O101" t="s">
        <v>18</v>
      </c>
    </row>
    <row r="102" spans="1:15" ht="18" customHeight="1" x14ac:dyDescent="0.15">
      <c r="A102" t="s">
        <v>18</v>
      </c>
      <c r="B102" t="s">
        <v>18</v>
      </c>
      <c r="C102" s="6" t="s">
        <v>151</v>
      </c>
      <c r="D102" s="7" t="s">
        <v>35</v>
      </c>
      <c r="E102" s="8">
        <v>0.05</v>
      </c>
      <c r="F102" t="s">
        <v>36</v>
      </c>
      <c r="G102" s="9">
        <v>6.43</v>
      </c>
      <c r="H102" s="10">
        <v>0.32150000000000001</v>
      </c>
      <c r="I102" t="s">
        <v>18</v>
      </c>
      <c r="J102" t="s">
        <v>18</v>
      </c>
      <c r="K102" t="s">
        <v>18</v>
      </c>
      <c r="L102" t="s">
        <v>18</v>
      </c>
      <c r="M102" t="s">
        <v>18</v>
      </c>
      <c r="N102" t="s">
        <v>18</v>
      </c>
      <c r="O102" t="s">
        <v>18</v>
      </c>
    </row>
    <row r="103" spans="1:15" ht="18" customHeight="1" x14ac:dyDescent="0.15">
      <c r="A103" t="s">
        <v>18</v>
      </c>
      <c r="B103" t="s">
        <v>18</v>
      </c>
      <c r="C103" s="6" t="s">
        <v>153</v>
      </c>
      <c r="D103" s="7" t="s">
        <v>20</v>
      </c>
      <c r="E103" s="8">
        <v>0.04</v>
      </c>
      <c r="F103" t="s">
        <v>21</v>
      </c>
      <c r="G103" s="9">
        <v>18.899999999999999</v>
      </c>
      <c r="H103" s="10">
        <v>0.75600000000000001</v>
      </c>
      <c r="I103" t="s">
        <v>18</v>
      </c>
      <c r="J103" t="s">
        <v>18</v>
      </c>
      <c r="K103" t="s">
        <v>18</v>
      </c>
      <c r="L103" t="s">
        <v>18</v>
      </c>
      <c r="M103" t="s">
        <v>18</v>
      </c>
      <c r="N103" t="s">
        <v>18</v>
      </c>
      <c r="O103" t="s">
        <v>18</v>
      </c>
    </row>
    <row r="104" spans="1:15" ht="18" customHeight="1" x14ac:dyDescent="0.15">
      <c r="A104" t="s">
        <v>18</v>
      </c>
      <c r="B104" t="s">
        <v>18</v>
      </c>
      <c r="C104" s="6" t="s">
        <v>143</v>
      </c>
      <c r="D104" s="7" t="s">
        <v>20</v>
      </c>
      <c r="E104" s="8">
        <v>0.01</v>
      </c>
      <c r="F104" t="s">
        <v>21</v>
      </c>
      <c r="G104" s="9">
        <v>5.5</v>
      </c>
      <c r="H104" s="10">
        <v>5.5E-2</v>
      </c>
      <c r="I104" t="s">
        <v>18</v>
      </c>
      <c r="J104" t="s">
        <v>18</v>
      </c>
      <c r="K104" t="s">
        <v>18</v>
      </c>
      <c r="L104" t="s">
        <v>18</v>
      </c>
      <c r="M104" t="s">
        <v>18</v>
      </c>
      <c r="N104" t="s">
        <v>18</v>
      </c>
      <c r="O104" t="s">
        <v>18</v>
      </c>
    </row>
    <row r="105" spans="1:15" ht="18" customHeight="1" x14ac:dyDescent="0.15">
      <c r="A105" t="s">
        <v>18</v>
      </c>
      <c r="B105" t="s">
        <v>18</v>
      </c>
      <c r="C105" s="6" t="s">
        <v>129</v>
      </c>
      <c r="D105" s="7" t="s">
        <v>20</v>
      </c>
      <c r="E105" s="8">
        <v>0.16</v>
      </c>
      <c r="F105" t="s">
        <v>21</v>
      </c>
      <c r="G105" s="9">
        <v>28</v>
      </c>
      <c r="H105" s="10">
        <v>4.4800000000000004</v>
      </c>
      <c r="I105" t="s">
        <v>18</v>
      </c>
      <c r="J105" t="s">
        <v>18</v>
      </c>
      <c r="K105" t="s">
        <v>18</v>
      </c>
      <c r="L105" t="s">
        <v>18</v>
      </c>
      <c r="M105" t="s">
        <v>18</v>
      </c>
      <c r="N105" t="s">
        <v>18</v>
      </c>
      <c r="O105" t="s">
        <v>18</v>
      </c>
    </row>
    <row r="106" spans="1:15" ht="18" customHeight="1" x14ac:dyDescent="0.15">
      <c r="A106" t="s">
        <v>18</v>
      </c>
      <c r="B106" t="s">
        <v>18</v>
      </c>
      <c r="C106" s="6" t="s">
        <v>152</v>
      </c>
      <c r="D106" s="7" t="s">
        <v>20</v>
      </c>
      <c r="E106" s="8">
        <v>0.02</v>
      </c>
      <c r="F106" t="s">
        <v>21</v>
      </c>
      <c r="G106" s="9">
        <v>23</v>
      </c>
      <c r="H106" s="10">
        <v>0.46</v>
      </c>
      <c r="I106" t="s">
        <v>18</v>
      </c>
      <c r="J106" t="s">
        <v>18</v>
      </c>
      <c r="K106" t="s">
        <v>18</v>
      </c>
      <c r="L106" t="s">
        <v>18</v>
      </c>
      <c r="M106" t="s">
        <v>18</v>
      </c>
      <c r="N106" t="s">
        <v>18</v>
      </c>
      <c r="O106" t="s">
        <v>18</v>
      </c>
    </row>
    <row r="107" spans="1:15" ht="18" customHeight="1" x14ac:dyDescent="0.15">
      <c r="A107" t="s">
        <v>18</v>
      </c>
      <c r="B107" t="s">
        <v>18</v>
      </c>
      <c r="C107" s="6" t="s">
        <v>37</v>
      </c>
      <c r="D107" s="7" t="s">
        <v>35</v>
      </c>
      <c r="E107" s="8">
        <v>0.02</v>
      </c>
      <c r="F107" t="s">
        <v>36</v>
      </c>
      <c r="G107" s="9">
        <v>10.63</v>
      </c>
      <c r="H107" s="10">
        <v>0.21260000000000001</v>
      </c>
      <c r="I107" t="s">
        <v>18</v>
      </c>
      <c r="J107" t="s">
        <v>18</v>
      </c>
      <c r="K107" t="s">
        <v>18</v>
      </c>
      <c r="L107" t="s">
        <v>18</v>
      </c>
      <c r="M107" t="s">
        <v>18</v>
      </c>
      <c r="N107" t="s">
        <v>18</v>
      </c>
      <c r="O107" t="s">
        <v>18</v>
      </c>
    </row>
    <row r="108" spans="1:15" ht="18" customHeight="1" x14ac:dyDescent="0.15">
      <c r="A108" t="s">
        <v>18</v>
      </c>
      <c r="B108" t="s">
        <v>18</v>
      </c>
      <c r="C108" s="6" t="s">
        <v>38</v>
      </c>
      <c r="D108" s="7" t="s">
        <v>20</v>
      </c>
      <c r="E108" s="8">
        <v>5.0000000000000001E-3</v>
      </c>
      <c r="F108" t="s">
        <v>21</v>
      </c>
      <c r="G108" s="9">
        <v>14.44</v>
      </c>
      <c r="H108" s="10">
        <v>7.22E-2</v>
      </c>
      <c r="I108" t="s">
        <v>18</v>
      </c>
      <c r="J108" t="s">
        <v>18</v>
      </c>
      <c r="K108" t="s">
        <v>18</v>
      </c>
      <c r="L108" t="s">
        <v>18</v>
      </c>
      <c r="M108" t="s">
        <v>18</v>
      </c>
      <c r="N108" t="s">
        <v>18</v>
      </c>
      <c r="O108" t="s">
        <v>18</v>
      </c>
    </row>
    <row r="109" spans="1:15" ht="18" customHeight="1" x14ac:dyDescent="0.15">
      <c r="A109" t="s">
        <v>18</v>
      </c>
      <c r="B109" t="s">
        <v>18</v>
      </c>
      <c r="C109" s="6" t="s">
        <v>30</v>
      </c>
      <c r="D109" s="7" t="s">
        <v>31</v>
      </c>
      <c r="E109" s="8">
        <v>1</v>
      </c>
      <c r="F109" t="s">
        <v>32</v>
      </c>
      <c r="G109" s="9">
        <v>0.7</v>
      </c>
      <c r="H109" s="10">
        <v>0.7</v>
      </c>
      <c r="I109" t="s">
        <v>18</v>
      </c>
      <c r="J109" t="s">
        <v>18</v>
      </c>
      <c r="K109" t="s">
        <v>18</v>
      </c>
      <c r="L109" t="s">
        <v>18</v>
      </c>
      <c r="M109" t="s">
        <v>18</v>
      </c>
      <c r="N109" t="s">
        <v>18</v>
      </c>
      <c r="O109" t="s">
        <v>18</v>
      </c>
    </row>
    <row r="110" spans="1:15" ht="18" customHeight="1" x14ac:dyDescent="0.15">
      <c r="A110" t="s">
        <v>18</v>
      </c>
      <c r="B110" t="s">
        <v>18</v>
      </c>
      <c r="C110" s="6" t="s">
        <v>130</v>
      </c>
      <c r="D110" s="7" t="s">
        <v>35</v>
      </c>
      <c r="E110" s="8">
        <v>0.02</v>
      </c>
      <c r="F110" t="s">
        <v>36</v>
      </c>
      <c r="G110" s="9">
        <v>14.06</v>
      </c>
      <c r="H110" s="10">
        <v>0.28120000000000001</v>
      </c>
      <c r="I110" t="s">
        <v>18</v>
      </c>
      <c r="J110" t="s">
        <v>18</v>
      </c>
      <c r="K110" t="s">
        <v>18</v>
      </c>
      <c r="L110" t="s">
        <v>18</v>
      </c>
      <c r="M110" t="s">
        <v>18</v>
      </c>
      <c r="N110" t="s">
        <v>18</v>
      </c>
      <c r="O110" t="s">
        <v>18</v>
      </c>
    </row>
    <row r="112" spans="1:15" ht="20" customHeight="1" x14ac:dyDescent="0.15">
      <c r="A112" s="2" t="s">
        <v>202</v>
      </c>
      <c r="B112" s="2" t="s">
        <v>188</v>
      </c>
      <c r="C112" s="2" t="s">
        <v>18</v>
      </c>
      <c r="D112" s="2" t="s">
        <v>18</v>
      </c>
      <c r="E112" s="2" t="s">
        <v>18</v>
      </c>
      <c r="F112" s="2" t="s">
        <v>18</v>
      </c>
      <c r="G112" s="2" t="s">
        <v>18</v>
      </c>
      <c r="H112" s="2" t="s">
        <v>18</v>
      </c>
      <c r="I112" s="3">
        <v>39</v>
      </c>
      <c r="J112" s="3">
        <v>8.9299399999999984</v>
      </c>
      <c r="K112" s="11">
        <v>0.27018792820512816</v>
      </c>
      <c r="L112" s="5">
        <v>97</v>
      </c>
      <c r="M112" s="3">
        <f>L112*(I112/1.18)</f>
        <v>3205.9322033898306</v>
      </c>
      <c r="N112" s="3">
        <f>L112*J112</f>
        <v>866.20417999999984</v>
      </c>
      <c r="O112" s="4">
        <f>N112/M112</f>
        <v>0.27018792820512816</v>
      </c>
    </row>
    <row r="113" spans="1:15" ht="18" customHeight="1" x14ac:dyDescent="0.15">
      <c r="A113" t="s">
        <v>18</v>
      </c>
      <c r="B113" t="s">
        <v>18</v>
      </c>
      <c r="C113" s="6" t="s">
        <v>54</v>
      </c>
      <c r="D113" s="7" t="s">
        <v>20</v>
      </c>
      <c r="E113" s="8">
        <v>0.01</v>
      </c>
      <c r="F113" t="s">
        <v>21</v>
      </c>
      <c r="G113" s="9">
        <v>99</v>
      </c>
      <c r="H113" s="10">
        <v>0.99</v>
      </c>
      <c r="I113" t="s">
        <v>18</v>
      </c>
      <c r="J113" t="s">
        <v>18</v>
      </c>
      <c r="K113" t="s">
        <v>18</v>
      </c>
      <c r="L113" t="s">
        <v>18</v>
      </c>
      <c r="M113" t="s">
        <v>18</v>
      </c>
      <c r="N113" t="s">
        <v>18</v>
      </c>
      <c r="O113" t="s">
        <v>18</v>
      </c>
    </row>
    <row r="114" spans="1:15" ht="18" customHeight="1" x14ac:dyDescent="0.15">
      <c r="A114" t="s">
        <v>18</v>
      </c>
      <c r="B114" t="s">
        <v>18</v>
      </c>
      <c r="C114" s="6" t="s">
        <v>153</v>
      </c>
      <c r="D114" s="7" t="s">
        <v>20</v>
      </c>
      <c r="E114" s="8">
        <v>0.08</v>
      </c>
      <c r="F114" t="s">
        <v>21</v>
      </c>
      <c r="G114" s="9">
        <v>18.899999999999999</v>
      </c>
      <c r="H114" s="10">
        <v>1.512</v>
      </c>
      <c r="I114" t="s">
        <v>18</v>
      </c>
      <c r="J114" t="s">
        <v>18</v>
      </c>
      <c r="K114" t="s">
        <v>18</v>
      </c>
      <c r="L114" t="s">
        <v>18</v>
      </c>
      <c r="M114" t="s">
        <v>18</v>
      </c>
      <c r="N114" t="s">
        <v>18</v>
      </c>
      <c r="O114" t="s">
        <v>18</v>
      </c>
    </row>
    <row r="115" spans="1:15" ht="18" customHeight="1" x14ac:dyDescent="0.15">
      <c r="A115" t="s">
        <v>18</v>
      </c>
      <c r="B115" t="s">
        <v>18</v>
      </c>
      <c r="C115" s="6" t="s">
        <v>203</v>
      </c>
      <c r="D115" s="7" t="s">
        <v>35</v>
      </c>
      <c r="E115" s="8">
        <v>0.06</v>
      </c>
      <c r="F115" t="s">
        <v>36</v>
      </c>
      <c r="G115" s="9">
        <v>24.5</v>
      </c>
      <c r="H115" s="10">
        <v>1.47</v>
      </c>
      <c r="I115" t="s">
        <v>18</v>
      </c>
      <c r="J115" t="s">
        <v>18</v>
      </c>
      <c r="K115" t="s">
        <v>18</v>
      </c>
      <c r="L115" t="s">
        <v>18</v>
      </c>
      <c r="M115" t="s">
        <v>18</v>
      </c>
      <c r="N115" t="s">
        <v>18</v>
      </c>
      <c r="O115" t="s">
        <v>18</v>
      </c>
    </row>
    <row r="116" spans="1:15" ht="18" customHeight="1" x14ac:dyDescent="0.15">
      <c r="A116" t="s">
        <v>18</v>
      </c>
      <c r="B116" t="s">
        <v>18</v>
      </c>
      <c r="C116" s="6" t="s">
        <v>204</v>
      </c>
      <c r="D116" s="7" t="s">
        <v>20</v>
      </c>
      <c r="E116" s="8">
        <v>1E-3</v>
      </c>
      <c r="F116" t="s">
        <v>21</v>
      </c>
      <c r="G116" s="9">
        <v>28</v>
      </c>
      <c r="H116" s="10">
        <v>2.8000000000000001E-2</v>
      </c>
      <c r="I116" t="s">
        <v>18</v>
      </c>
      <c r="J116" t="s">
        <v>18</v>
      </c>
      <c r="K116" t="s">
        <v>18</v>
      </c>
      <c r="L116" t="s">
        <v>18</v>
      </c>
      <c r="M116" t="s">
        <v>18</v>
      </c>
      <c r="N116" t="s">
        <v>18</v>
      </c>
      <c r="O116" t="s">
        <v>18</v>
      </c>
    </row>
    <row r="117" spans="1:15" ht="18" customHeight="1" x14ac:dyDescent="0.15">
      <c r="A117" t="s">
        <v>18</v>
      </c>
      <c r="B117" t="s">
        <v>18</v>
      </c>
      <c r="C117" s="6" t="s">
        <v>205</v>
      </c>
      <c r="D117" s="7" t="s">
        <v>20</v>
      </c>
      <c r="E117" s="8">
        <v>0.01</v>
      </c>
      <c r="F117" t="s">
        <v>21</v>
      </c>
      <c r="G117" s="9">
        <v>7.5</v>
      </c>
      <c r="H117" s="10">
        <v>7.4999999999999997E-2</v>
      </c>
      <c r="I117" t="s">
        <v>18</v>
      </c>
      <c r="J117" t="s">
        <v>18</v>
      </c>
      <c r="K117" t="s">
        <v>18</v>
      </c>
      <c r="L117" t="s">
        <v>18</v>
      </c>
      <c r="M117" t="s">
        <v>18</v>
      </c>
      <c r="N117" t="s">
        <v>18</v>
      </c>
      <c r="O117" t="s">
        <v>18</v>
      </c>
    </row>
    <row r="118" spans="1:15" ht="18" customHeight="1" x14ac:dyDescent="0.15">
      <c r="A118" t="s">
        <v>18</v>
      </c>
      <c r="B118" t="s">
        <v>18</v>
      </c>
      <c r="C118" s="6" t="s">
        <v>126</v>
      </c>
      <c r="D118" s="7" t="s">
        <v>20</v>
      </c>
      <c r="E118" s="8">
        <v>0.12</v>
      </c>
      <c r="F118" t="s">
        <v>21</v>
      </c>
      <c r="G118" s="9">
        <v>10</v>
      </c>
      <c r="H118" s="10">
        <v>1.32</v>
      </c>
      <c r="I118" t="s">
        <v>18</v>
      </c>
      <c r="J118" t="s">
        <v>18</v>
      </c>
      <c r="K118" t="s">
        <v>18</v>
      </c>
      <c r="L118" t="s">
        <v>18</v>
      </c>
      <c r="M118" t="s">
        <v>18</v>
      </c>
      <c r="N118" t="s">
        <v>18</v>
      </c>
      <c r="O118" t="s">
        <v>18</v>
      </c>
    </row>
    <row r="119" spans="1:15" ht="18" customHeight="1" x14ac:dyDescent="0.15">
      <c r="A119" t="s">
        <v>18</v>
      </c>
      <c r="B119" t="s">
        <v>18</v>
      </c>
      <c r="C119" s="6" t="s">
        <v>206</v>
      </c>
      <c r="D119" s="7" t="s">
        <v>20</v>
      </c>
      <c r="E119" s="8">
        <v>0.08</v>
      </c>
      <c r="F119" t="s">
        <v>21</v>
      </c>
      <c r="G119" s="9">
        <v>10</v>
      </c>
      <c r="H119" s="10">
        <v>0.8</v>
      </c>
      <c r="I119" t="s">
        <v>18</v>
      </c>
      <c r="J119" t="s">
        <v>18</v>
      </c>
      <c r="K119" t="s">
        <v>18</v>
      </c>
      <c r="L119" t="s">
        <v>18</v>
      </c>
      <c r="M119" t="s">
        <v>18</v>
      </c>
      <c r="N119" t="s">
        <v>18</v>
      </c>
      <c r="O119" t="s">
        <v>18</v>
      </c>
    </row>
    <row r="120" spans="1:15" ht="18" customHeight="1" x14ac:dyDescent="0.15">
      <c r="A120" t="s">
        <v>18</v>
      </c>
      <c r="B120" t="s">
        <v>18</v>
      </c>
      <c r="C120" s="6" t="s">
        <v>25</v>
      </c>
      <c r="D120" s="7" t="s">
        <v>20</v>
      </c>
      <c r="E120" s="8">
        <v>1E-3</v>
      </c>
      <c r="F120" t="s">
        <v>21</v>
      </c>
      <c r="G120" s="9">
        <v>1.44</v>
      </c>
      <c r="H120" s="10">
        <v>1.4399999999999999E-3</v>
      </c>
      <c r="I120" t="s">
        <v>18</v>
      </c>
      <c r="J120" t="s">
        <v>18</v>
      </c>
      <c r="K120" t="s">
        <v>18</v>
      </c>
      <c r="L120" t="s">
        <v>18</v>
      </c>
      <c r="M120" t="s">
        <v>18</v>
      </c>
      <c r="N120" t="s">
        <v>18</v>
      </c>
      <c r="O120" t="s">
        <v>18</v>
      </c>
    </row>
    <row r="121" spans="1:15" ht="18" customHeight="1" x14ac:dyDescent="0.15">
      <c r="A121" t="s">
        <v>18</v>
      </c>
      <c r="B121" t="s">
        <v>18</v>
      </c>
      <c r="C121" s="6" t="s">
        <v>207</v>
      </c>
      <c r="D121" s="7" t="s">
        <v>20</v>
      </c>
      <c r="E121" s="8">
        <v>0.04</v>
      </c>
      <c r="F121" t="s">
        <v>21</v>
      </c>
      <c r="G121" s="9">
        <v>7.5</v>
      </c>
      <c r="H121" s="10">
        <v>0.3</v>
      </c>
      <c r="I121" t="s">
        <v>18</v>
      </c>
      <c r="J121" t="s">
        <v>18</v>
      </c>
      <c r="K121" t="s">
        <v>18</v>
      </c>
      <c r="L121" t="s">
        <v>18</v>
      </c>
      <c r="M121" t="s">
        <v>18</v>
      </c>
      <c r="N121" t="s">
        <v>18</v>
      </c>
      <c r="O121" t="s">
        <v>18</v>
      </c>
    </row>
    <row r="122" spans="1:15" ht="18" customHeight="1" x14ac:dyDescent="0.15">
      <c r="A122" t="s">
        <v>18</v>
      </c>
      <c r="B122" t="s">
        <v>18</v>
      </c>
      <c r="C122" s="6" t="s">
        <v>152</v>
      </c>
      <c r="D122" s="7" t="s">
        <v>20</v>
      </c>
      <c r="E122" s="8">
        <v>0.03</v>
      </c>
      <c r="F122" t="s">
        <v>21</v>
      </c>
      <c r="G122" s="9">
        <v>23</v>
      </c>
      <c r="H122" s="10">
        <v>0.69</v>
      </c>
      <c r="I122" t="s">
        <v>18</v>
      </c>
      <c r="J122" t="s">
        <v>18</v>
      </c>
      <c r="K122" t="s">
        <v>18</v>
      </c>
      <c r="L122" t="s">
        <v>18</v>
      </c>
      <c r="M122" t="s">
        <v>18</v>
      </c>
      <c r="N122" t="s">
        <v>18</v>
      </c>
      <c r="O122" t="s">
        <v>18</v>
      </c>
    </row>
    <row r="123" spans="1:15" ht="18" customHeight="1" x14ac:dyDescent="0.15">
      <c r="A123" t="s">
        <v>18</v>
      </c>
      <c r="B123" t="s">
        <v>18</v>
      </c>
      <c r="C123" s="6" t="s">
        <v>154</v>
      </c>
      <c r="D123" s="7" t="s">
        <v>20</v>
      </c>
      <c r="E123" s="8">
        <v>0.06</v>
      </c>
      <c r="F123" t="s">
        <v>21</v>
      </c>
      <c r="G123" s="9">
        <v>26.8</v>
      </c>
      <c r="H123" s="10">
        <v>1.6079999999999999</v>
      </c>
      <c r="I123" t="s">
        <v>18</v>
      </c>
      <c r="J123" t="s">
        <v>18</v>
      </c>
      <c r="K123" t="s">
        <v>18</v>
      </c>
      <c r="L123" t="s">
        <v>18</v>
      </c>
      <c r="M123" t="s">
        <v>18</v>
      </c>
      <c r="N123" t="s">
        <v>18</v>
      </c>
      <c r="O123" t="s">
        <v>18</v>
      </c>
    </row>
    <row r="124" spans="1:15" ht="18" customHeight="1" x14ac:dyDescent="0.15">
      <c r="A124" t="s">
        <v>18</v>
      </c>
      <c r="B124" t="s">
        <v>18</v>
      </c>
      <c r="C124" s="6" t="s">
        <v>174</v>
      </c>
      <c r="D124" s="7" t="s">
        <v>35</v>
      </c>
      <c r="E124" s="8">
        <v>0.01</v>
      </c>
      <c r="F124" t="s">
        <v>36</v>
      </c>
      <c r="G124" s="9">
        <v>10.55</v>
      </c>
      <c r="H124" s="10">
        <v>0.10550000000000001</v>
      </c>
      <c r="I124" t="s">
        <v>18</v>
      </c>
      <c r="J124" t="s">
        <v>18</v>
      </c>
      <c r="K124" t="s">
        <v>18</v>
      </c>
      <c r="L124" t="s">
        <v>18</v>
      </c>
      <c r="M124" t="s">
        <v>18</v>
      </c>
      <c r="N124" t="s">
        <v>18</v>
      </c>
      <c r="O124" t="s">
        <v>18</v>
      </c>
    </row>
    <row r="125" spans="1:15" ht="18" customHeight="1" x14ac:dyDescent="0.15">
      <c r="A125" t="s">
        <v>18</v>
      </c>
      <c r="B125" t="s">
        <v>18</v>
      </c>
      <c r="C125" s="6" t="s">
        <v>46</v>
      </c>
      <c r="D125" s="7" t="s">
        <v>20</v>
      </c>
      <c r="E125" s="8">
        <v>1E-3</v>
      </c>
      <c r="F125" t="s">
        <v>21</v>
      </c>
      <c r="G125" s="9">
        <v>30</v>
      </c>
      <c r="H125" s="10">
        <v>0.03</v>
      </c>
      <c r="I125" t="s">
        <v>18</v>
      </c>
      <c r="J125" t="s">
        <v>18</v>
      </c>
      <c r="K125" t="s">
        <v>18</v>
      </c>
      <c r="L125" t="s">
        <v>18</v>
      </c>
      <c r="M125" t="s">
        <v>18</v>
      </c>
      <c r="N125" t="s">
        <v>18</v>
      </c>
      <c r="O125" t="s">
        <v>18</v>
      </c>
    </row>
  </sheetData>
  <mergeCells count="1">
    <mergeCell ref="A1:O1"/>
  </mergeCells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152"/>
  <sheetViews>
    <sheetView workbookViewId="0">
      <pane ySplit="2" topLeftCell="A3" activePane="bottomLeft" state="frozen"/>
      <selection pane="bottomLeft" activeCell="J144" sqref="J144"/>
    </sheetView>
    <sheetView topLeftCell="I1" workbookViewId="1">
      <selection sqref="A1:O1"/>
    </sheetView>
  </sheetViews>
  <sheetFormatPr baseColWidth="10" defaultColWidth="8.83203125" defaultRowHeight="14" x14ac:dyDescent="0.15"/>
  <cols>
    <col min="1" max="1" width="28" customWidth="1"/>
    <col min="2" max="2" width="16" customWidth="1"/>
    <col min="3" max="3" width="28" customWidth="1"/>
    <col min="4" max="4" width="12" customWidth="1"/>
    <col min="5" max="6" width="8" customWidth="1"/>
    <col min="7" max="7" width="14" customWidth="1"/>
    <col min="8" max="9" width="18" customWidth="1"/>
    <col min="10" max="10" width="14" customWidth="1"/>
    <col min="11" max="11" width="10" style="26" customWidth="1"/>
    <col min="12" max="12" width="10" customWidth="1"/>
    <col min="13" max="13" width="20" customWidth="1"/>
    <col min="14" max="14" width="24" customWidth="1"/>
    <col min="15" max="15" width="16" customWidth="1"/>
  </cols>
  <sheetData>
    <row r="1" spans="1:15" ht="18" customHeight="1" x14ac:dyDescent="0.15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</row>
    <row r="2" spans="1:15" ht="32" customHeight="1" x14ac:dyDescent="0.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24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 spans="1:15" ht="20" customHeight="1" x14ac:dyDescent="0.15">
      <c r="A3" s="2" t="s">
        <v>208</v>
      </c>
      <c r="B3" s="2" t="s">
        <v>209</v>
      </c>
      <c r="C3" s="2" t="s">
        <v>18</v>
      </c>
      <c r="D3" s="2" t="s">
        <v>18</v>
      </c>
      <c r="E3" s="2" t="s">
        <v>18</v>
      </c>
      <c r="F3" s="2" t="s">
        <v>18</v>
      </c>
      <c r="G3" s="2" t="s">
        <v>18</v>
      </c>
      <c r="H3" s="2" t="s">
        <v>18</v>
      </c>
      <c r="I3" s="3">
        <v>69</v>
      </c>
      <c r="J3" s="3">
        <f>SUM(H4:H12)</f>
        <v>23.014099999999999</v>
      </c>
      <c r="K3" s="25">
        <f>J3/(I3/1.18)</f>
        <v>0.39357446376811589</v>
      </c>
      <c r="L3" s="5">
        <v>1785</v>
      </c>
      <c r="M3" s="3">
        <f>L3*(I3/1.18)</f>
        <v>104377.1186440678</v>
      </c>
      <c r="N3" s="3">
        <f>L3*J3</f>
        <v>41080.1685</v>
      </c>
      <c r="O3" s="4">
        <f>N3/M3</f>
        <v>0.39357446376811595</v>
      </c>
    </row>
    <row r="4" spans="1:15" ht="18" customHeight="1" x14ac:dyDescent="0.15">
      <c r="A4" t="s">
        <v>18</v>
      </c>
      <c r="B4" t="s">
        <v>18</v>
      </c>
      <c r="C4" s="6" t="s">
        <v>26</v>
      </c>
      <c r="D4" s="7" t="s">
        <v>20</v>
      </c>
      <c r="E4" s="8">
        <v>1</v>
      </c>
      <c r="F4" t="s">
        <v>27</v>
      </c>
      <c r="G4" s="9">
        <v>2.35</v>
      </c>
      <c r="H4" s="10">
        <v>2.35</v>
      </c>
      <c r="I4" t="s">
        <v>18</v>
      </c>
      <c r="J4" t="s">
        <v>18</v>
      </c>
      <c r="K4" s="26" t="s">
        <v>18</v>
      </c>
      <c r="L4" t="s">
        <v>18</v>
      </c>
      <c r="M4" t="s">
        <v>18</v>
      </c>
      <c r="N4" t="s">
        <v>18</v>
      </c>
      <c r="O4" t="s">
        <v>18</v>
      </c>
    </row>
    <row r="5" spans="1:15" ht="18" customHeight="1" x14ac:dyDescent="0.15">
      <c r="A5" t="s">
        <v>18</v>
      </c>
      <c r="B5" t="s">
        <v>18</v>
      </c>
      <c r="C5" s="6" t="s">
        <v>123</v>
      </c>
      <c r="D5" s="7" t="s">
        <v>35</v>
      </c>
      <c r="E5" s="8">
        <v>0.03</v>
      </c>
      <c r="F5" t="s">
        <v>36</v>
      </c>
      <c r="G5" s="9">
        <v>12.05</v>
      </c>
      <c r="H5" s="10">
        <v>0.36149999999999999</v>
      </c>
      <c r="I5" t="s">
        <v>18</v>
      </c>
      <c r="J5" t="s">
        <v>18</v>
      </c>
      <c r="K5" s="26" t="s">
        <v>18</v>
      </c>
      <c r="L5" t="s">
        <v>18</v>
      </c>
      <c r="M5" t="s">
        <v>18</v>
      </c>
      <c r="N5" t="s">
        <v>18</v>
      </c>
      <c r="O5" t="s">
        <v>18</v>
      </c>
    </row>
    <row r="6" spans="1:15" ht="18" customHeight="1" x14ac:dyDescent="0.15">
      <c r="A6" t="s">
        <v>18</v>
      </c>
      <c r="B6" t="s">
        <v>18</v>
      </c>
      <c r="C6" s="6" t="s">
        <v>122</v>
      </c>
      <c r="D6" s="7" t="s">
        <v>35</v>
      </c>
      <c r="E6" s="8">
        <v>0.22</v>
      </c>
      <c r="F6" t="s">
        <v>36</v>
      </c>
      <c r="G6" s="9">
        <v>40.46</v>
      </c>
      <c r="H6" s="10">
        <f>G6*E6</f>
        <v>8.9012000000000011</v>
      </c>
      <c r="I6" t="s">
        <v>18</v>
      </c>
      <c r="J6" t="s">
        <v>18</v>
      </c>
      <c r="K6" s="26" t="s">
        <v>18</v>
      </c>
      <c r="L6" t="s">
        <v>18</v>
      </c>
      <c r="M6" t="s">
        <v>18</v>
      </c>
      <c r="N6" t="s">
        <v>18</v>
      </c>
      <c r="O6" t="s">
        <v>18</v>
      </c>
    </row>
    <row r="7" spans="1:15" ht="18" customHeight="1" x14ac:dyDescent="0.15">
      <c r="A7" t="s">
        <v>18</v>
      </c>
      <c r="B7" t="s">
        <v>18</v>
      </c>
      <c r="C7" s="6" t="s">
        <v>184</v>
      </c>
      <c r="D7" s="7" t="s">
        <v>20</v>
      </c>
      <c r="E7" s="8">
        <v>0.03</v>
      </c>
      <c r="F7" t="s">
        <v>21</v>
      </c>
      <c r="G7" s="9">
        <v>45</v>
      </c>
      <c r="H7" s="10">
        <v>1.3499999999999999</v>
      </c>
      <c r="I7" t="s">
        <v>18</v>
      </c>
      <c r="J7" t="s">
        <v>18</v>
      </c>
      <c r="K7" s="26" t="s">
        <v>18</v>
      </c>
      <c r="L7" t="s">
        <v>18</v>
      </c>
      <c r="M7" t="s">
        <v>18</v>
      </c>
      <c r="N7" t="s">
        <v>18</v>
      </c>
      <c r="O7" t="s">
        <v>18</v>
      </c>
    </row>
    <row r="8" spans="1:15" ht="18" customHeight="1" x14ac:dyDescent="0.15">
      <c r="A8" t="s">
        <v>18</v>
      </c>
      <c r="B8" t="s">
        <v>18</v>
      </c>
      <c r="C8" s="6" t="s">
        <v>48</v>
      </c>
      <c r="D8" s="7" t="s">
        <v>35</v>
      </c>
      <c r="E8" s="8">
        <v>0.1</v>
      </c>
      <c r="F8" t="s">
        <v>36</v>
      </c>
      <c r="G8" s="9">
        <v>30.22</v>
      </c>
      <c r="H8" s="10">
        <v>3.0220000000000002</v>
      </c>
      <c r="I8" t="s">
        <v>18</v>
      </c>
      <c r="J8" t="s">
        <v>18</v>
      </c>
      <c r="K8" s="26" t="s">
        <v>18</v>
      </c>
      <c r="L8" t="s">
        <v>18</v>
      </c>
      <c r="M8" t="s">
        <v>18</v>
      </c>
      <c r="N8" t="s">
        <v>18</v>
      </c>
      <c r="O8" t="s">
        <v>18</v>
      </c>
    </row>
    <row r="9" spans="1:15" ht="18" customHeight="1" x14ac:dyDescent="0.15">
      <c r="A9" t="s">
        <v>18</v>
      </c>
      <c r="B9" t="s">
        <v>18</v>
      </c>
      <c r="C9" s="6" t="s">
        <v>178</v>
      </c>
      <c r="D9" s="7" t="s">
        <v>20</v>
      </c>
      <c r="E9" s="8">
        <v>7.0000000000000007E-2</v>
      </c>
      <c r="F9" t="s">
        <v>21</v>
      </c>
      <c r="G9" s="9">
        <v>50</v>
      </c>
      <c r="H9" s="10">
        <v>3.5000000000000004</v>
      </c>
      <c r="I9" t="s">
        <v>18</v>
      </c>
      <c r="J9" t="s">
        <v>18</v>
      </c>
      <c r="K9" s="26" t="s">
        <v>18</v>
      </c>
      <c r="L9" t="s">
        <v>18</v>
      </c>
      <c r="M9" t="s">
        <v>18</v>
      </c>
      <c r="N9" t="s">
        <v>18</v>
      </c>
      <c r="O9" t="s">
        <v>18</v>
      </c>
    </row>
    <row r="10" spans="1:15" ht="18" customHeight="1" x14ac:dyDescent="0.15">
      <c r="A10" t="s">
        <v>18</v>
      </c>
      <c r="B10" t="s">
        <v>18</v>
      </c>
      <c r="C10" s="6" t="s">
        <v>173</v>
      </c>
      <c r="D10" s="7" t="s">
        <v>35</v>
      </c>
      <c r="E10" s="8">
        <v>0.03</v>
      </c>
      <c r="F10" t="s">
        <v>36</v>
      </c>
      <c r="G10" s="9">
        <v>19.739999999999998</v>
      </c>
      <c r="H10" s="10">
        <v>0.59219999999999995</v>
      </c>
      <c r="I10" t="s">
        <v>18</v>
      </c>
      <c r="J10" t="s">
        <v>18</v>
      </c>
      <c r="K10" s="26" t="s">
        <v>18</v>
      </c>
      <c r="L10" t="s">
        <v>18</v>
      </c>
      <c r="M10" t="s">
        <v>18</v>
      </c>
      <c r="N10" t="s">
        <v>18</v>
      </c>
      <c r="O10" t="s">
        <v>18</v>
      </c>
    </row>
    <row r="11" spans="1:15" ht="18" customHeight="1" x14ac:dyDescent="0.15">
      <c r="A11" t="s">
        <v>18</v>
      </c>
      <c r="B11" t="s">
        <v>18</v>
      </c>
      <c r="C11" s="6" t="s">
        <v>59</v>
      </c>
      <c r="D11" s="7" t="s">
        <v>20</v>
      </c>
      <c r="E11" s="8">
        <v>0.17</v>
      </c>
      <c r="F11" t="s">
        <v>21</v>
      </c>
      <c r="G11" s="9">
        <v>13.16</v>
      </c>
      <c r="H11" s="10">
        <v>2.2372000000000001</v>
      </c>
      <c r="I11" t="s">
        <v>18</v>
      </c>
      <c r="J11" t="s">
        <v>18</v>
      </c>
      <c r="K11" s="26" t="s">
        <v>18</v>
      </c>
      <c r="L11" t="s">
        <v>18</v>
      </c>
      <c r="M11" t="s">
        <v>18</v>
      </c>
      <c r="N11" t="s">
        <v>18</v>
      </c>
      <c r="O11" t="s">
        <v>18</v>
      </c>
    </row>
    <row r="12" spans="1:15" ht="18" customHeight="1" x14ac:dyDescent="0.15">
      <c r="A12" t="s">
        <v>18</v>
      </c>
      <c r="B12" t="s">
        <v>18</v>
      </c>
      <c r="C12" s="6" t="s">
        <v>30</v>
      </c>
      <c r="D12" s="7" t="s">
        <v>31</v>
      </c>
      <c r="E12" s="8">
        <v>1</v>
      </c>
      <c r="F12" t="s">
        <v>32</v>
      </c>
      <c r="G12" s="9">
        <v>0.7</v>
      </c>
      <c r="H12" s="10">
        <v>0.7</v>
      </c>
      <c r="I12" t="s">
        <v>18</v>
      </c>
      <c r="J12" t="s">
        <v>18</v>
      </c>
      <c r="K12" s="26" t="s">
        <v>18</v>
      </c>
      <c r="L12" t="s">
        <v>18</v>
      </c>
      <c r="M12" t="s">
        <v>18</v>
      </c>
      <c r="N12" t="s">
        <v>18</v>
      </c>
      <c r="O12" t="s">
        <v>18</v>
      </c>
    </row>
    <row r="14" spans="1:15" ht="20" customHeight="1" x14ac:dyDescent="0.15">
      <c r="A14" s="2" t="s">
        <v>210</v>
      </c>
      <c r="B14" s="2" t="s">
        <v>209</v>
      </c>
      <c r="C14" s="2" t="s">
        <v>18</v>
      </c>
      <c r="D14" s="2" t="s">
        <v>18</v>
      </c>
      <c r="E14" s="2" t="s">
        <v>18</v>
      </c>
      <c r="F14" s="2" t="s">
        <v>18</v>
      </c>
      <c r="G14" s="2" t="s">
        <v>18</v>
      </c>
      <c r="H14" s="2" t="s">
        <v>18</v>
      </c>
      <c r="I14" s="3">
        <v>49</v>
      </c>
      <c r="J14" s="3">
        <f>SUM(H15:H21)</f>
        <v>10.5029</v>
      </c>
      <c r="K14" s="25">
        <f>J14/(I14/1.18)</f>
        <v>0.25292697959183669</v>
      </c>
      <c r="L14" s="5">
        <v>373</v>
      </c>
      <c r="M14" s="3">
        <f>L14*(I14/1.18)</f>
        <v>15488.983050847459</v>
      </c>
      <c r="N14" s="3">
        <f>L14*J14</f>
        <v>3917.5817000000002</v>
      </c>
      <c r="O14" s="4">
        <f>N14/M14</f>
        <v>0.25292697959183674</v>
      </c>
    </row>
    <row r="15" spans="1:15" ht="18" customHeight="1" x14ac:dyDescent="0.15">
      <c r="A15" t="s">
        <v>18</v>
      </c>
      <c r="B15" t="s">
        <v>18</v>
      </c>
      <c r="C15" s="6" t="s">
        <v>30</v>
      </c>
      <c r="D15" s="7" t="s">
        <v>31</v>
      </c>
      <c r="E15" s="8">
        <v>1</v>
      </c>
      <c r="F15" t="s">
        <v>32</v>
      </c>
      <c r="G15" s="9">
        <v>0.7</v>
      </c>
      <c r="H15" s="10">
        <v>0.7</v>
      </c>
      <c r="I15" t="s">
        <v>18</v>
      </c>
      <c r="J15" t="s">
        <v>18</v>
      </c>
      <c r="K15" s="26" t="s">
        <v>18</v>
      </c>
      <c r="L15" t="s">
        <v>18</v>
      </c>
      <c r="M15" t="s">
        <v>18</v>
      </c>
      <c r="N15" t="s">
        <v>18</v>
      </c>
      <c r="O15" t="s">
        <v>18</v>
      </c>
    </row>
    <row r="16" spans="1:15" ht="18" customHeight="1" x14ac:dyDescent="0.15">
      <c r="A16" t="s">
        <v>18</v>
      </c>
      <c r="B16" t="s">
        <v>18</v>
      </c>
      <c r="C16" s="6" t="s">
        <v>211</v>
      </c>
      <c r="D16" s="7" t="s">
        <v>20</v>
      </c>
      <c r="E16" s="8">
        <v>0.03</v>
      </c>
      <c r="F16" t="s">
        <v>21</v>
      </c>
      <c r="G16" s="9">
        <v>29</v>
      </c>
      <c r="H16" s="10">
        <v>0.87</v>
      </c>
      <c r="I16" t="s">
        <v>18</v>
      </c>
      <c r="J16" t="s">
        <v>18</v>
      </c>
      <c r="K16" s="26" t="s">
        <v>18</v>
      </c>
      <c r="L16" t="s">
        <v>18</v>
      </c>
      <c r="M16" t="s">
        <v>18</v>
      </c>
      <c r="N16" t="s">
        <v>18</v>
      </c>
      <c r="O16" t="s">
        <v>18</v>
      </c>
    </row>
    <row r="17" spans="1:15" ht="18" customHeight="1" x14ac:dyDescent="0.15">
      <c r="A17" t="s">
        <v>18</v>
      </c>
      <c r="B17" t="s">
        <v>18</v>
      </c>
      <c r="C17" s="6" t="s">
        <v>124</v>
      </c>
      <c r="D17" s="7" t="s">
        <v>35</v>
      </c>
      <c r="E17" s="8">
        <v>0.02</v>
      </c>
      <c r="F17" t="s">
        <v>36</v>
      </c>
      <c r="G17" s="9">
        <v>8.3000000000000007</v>
      </c>
      <c r="H17" s="10">
        <v>0.16600000000000001</v>
      </c>
      <c r="I17" t="s">
        <v>18</v>
      </c>
      <c r="J17" t="s">
        <v>18</v>
      </c>
      <c r="K17" s="26" t="s">
        <v>18</v>
      </c>
      <c r="L17" t="s">
        <v>18</v>
      </c>
      <c r="M17" t="s">
        <v>18</v>
      </c>
      <c r="N17" t="s">
        <v>18</v>
      </c>
      <c r="O17" t="s">
        <v>18</v>
      </c>
    </row>
    <row r="18" spans="1:15" ht="18" customHeight="1" x14ac:dyDescent="0.15">
      <c r="A18" t="s">
        <v>18</v>
      </c>
      <c r="B18" t="s">
        <v>18</v>
      </c>
      <c r="C18" s="6" t="s">
        <v>122</v>
      </c>
      <c r="D18" s="7" t="s">
        <v>35</v>
      </c>
      <c r="E18" s="8">
        <v>0.16</v>
      </c>
      <c r="F18" t="s">
        <v>36</v>
      </c>
      <c r="G18" s="9">
        <v>40.46</v>
      </c>
      <c r="H18" s="10">
        <f>G18*E18</f>
        <v>6.4736000000000002</v>
      </c>
      <c r="I18" t="s">
        <v>18</v>
      </c>
      <c r="J18" t="s">
        <v>18</v>
      </c>
      <c r="K18" s="26" t="s">
        <v>18</v>
      </c>
      <c r="L18" t="s">
        <v>18</v>
      </c>
      <c r="M18" t="s">
        <v>18</v>
      </c>
      <c r="N18" t="s">
        <v>18</v>
      </c>
      <c r="O18" t="s">
        <v>18</v>
      </c>
    </row>
    <row r="19" spans="1:15" ht="18" customHeight="1" x14ac:dyDescent="0.15">
      <c r="A19" t="s">
        <v>18</v>
      </c>
      <c r="B19" t="s">
        <v>18</v>
      </c>
      <c r="C19" s="6" t="s">
        <v>212</v>
      </c>
      <c r="D19" s="7" t="s">
        <v>35</v>
      </c>
      <c r="E19" s="8">
        <v>0.02</v>
      </c>
      <c r="F19" t="s">
        <v>36</v>
      </c>
      <c r="G19" s="9">
        <v>8.64</v>
      </c>
      <c r="H19" s="10">
        <v>0.17280000000000001</v>
      </c>
      <c r="I19" t="s">
        <v>18</v>
      </c>
      <c r="J19" t="s">
        <v>18</v>
      </c>
      <c r="K19" s="26" t="s">
        <v>18</v>
      </c>
      <c r="L19" t="s">
        <v>18</v>
      </c>
      <c r="M19" t="s">
        <v>18</v>
      </c>
      <c r="N19" t="s">
        <v>18</v>
      </c>
      <c r="O19" t="s">
        <v>18</v>
      </c>
    </row>
    <row r="20" spans="1:15" ht="18" customHeight="1" x14ac:dyDescent="0.15">
      <c r="A20" t="s">
        <v>18</v>
      </c>
      <c r="B20" t="s">
        <v>18</v>
      </c>
      <c r="C20" s="6" t="s">
        <v>123</v>
      </c>
      <c r="D20" s="7" t="s">
        <v>35</v>
      </c>
      <c r="E20" s="8">
        <v>0.01</v>
      </c>
      <c r="F20" t="s">
        <v>36</v>
      </c>
      <c r="G20" s="9">
        <v>12.05</v>
      </c>
      <c r="H20" s="10">
        <v>0.12050000000000001</v>
      </c>
      <c r="I20" t="s">
        <v>18</v>
      </c>
      <c r="J20" t="s">
        <v>18</v>
      </c>
      <c r="K20" s="26" t="s">
        <v>18</v>
      </c>
      <c r="L20" t="s">
        <v>18</v>
      </c>
      <c r="M20" t="s">
        <v>18</v>
      </c>
      <c r="N20" t="s">
        <v>18</v>
      </c>
      <c r="O20" t="s">
        <v>18</v>
      </c>
    </row>
    <row r="21" spans="1:15" ht="18" customHeight="1" x14ac:dyDescent="0.15">
      <c r="A21" t="s">
        <v>18</v>
      </c>
      <c r="B21" t="s">
        <v>18</v>
      </c>
      <c r="C21" s="6" t="s">
        <v>127</v>
      </c>
      <c r="D21" s="7" t="s">
        <v>20</v>
      </c>
      <c r="E21" s="8">
        <v>1</v>
      </c>
      <c r="F21" t="s">
        <v>27</v>
      </c>
      <c r="G21" s="9">
        <v>2</v>
      </c>
      <c r="H21" s="10">
        <v>2</v>
      </c>
      <c r="I21" t="s">
        <v>18</v>
      </c>
      <c r="J21" t="s">
        <v>18</v>
      </c>
      <c r="K21" s="26" t="s">
        <v>18</v>
      </c>
      <c r="L21" t="s">
        <v>18</v>
      </c>
      <c r="M21" t="s">
        <v>18</v>
      </c>
      <c r="N21" t="s">
        <v>18</v>
      </c>
      <c r="O21" t="s">
        <v>18</v>
      </c>
    </row>
    <row r="23" spans="1:15" ht="20" customHeight="1" x14ac:dyDescent="0.15">
      <c r="A23" s="2" t="s">
        <v>213</v>
      </c>
      <c r="B23" s="2" t="s">
        <v>209</v>
      </c>
      <c r="C23" s="2" t="s">
        <v>18</v>
      </c>
      <c r="D23" s="2" t="s">
        <v>18</v>
      </c>
      <c r="E23" s="2" t="s">
        <v>18</v>
      </c>
      <c r="F23" s="2" t="s">
        <v>18</v>
      </c>
      <c r="G23" s="2" t="s">
        <v>18</v>
      </c>
      <c r="H23" s="2" t="s">
        <v>18</v>
      </c>
      <c r="I23" s="3">
        <v>69</v>
      </c>
      <c r="J23" s="3">
        <f>SUM(H24:H31)</f>
        <v>13.149588546327177</v>
      </c>
      <c r="K23" s="25">
        <f>J23/(I23/1.18)</f>
        <v>0.22487702151689953</v>
      </c>
      <c r="L23" s="5">
        <v>95</v>
      </c>
      <c r="M23" s="3">
        <f>L23*(I23/1.18)</f>
        <v>5555.0847457627124</v>
      </c>
      <c r="N23" s="3">
        <f>L23*J23</f>
        <v>1249.2109119010818</v>
      </c>
      <c r="O23" s="4">
        <f>N23/M23</f>
        <v>0.22487702151689953</v>
      </c>
    </row>
    <row r="24" spans="1:15" ht="18" customHeight="1" x14ac:dyDescent="0.15">
      <c r="A24" t="s">
        <v>18</v>
      </c>
      <c r="B24" t="s">
        <v>18</v>
      </c>
      <c r="C24" s="6" t="s">
        <v>30</v>
      </c>
      <c r="D24" s="7" t="s">
        <v>31</v>
      </c>
      <c r="E24" s="8">
        <v>1</v>
      </c>
      <c r="F24" t="s">
        <v>32</v>
      </c>
      <c r="G24" s="9">
        <v>0.7</v>
      </c>
      <c r="H24" s="10">
        <v>0.7</v>
      </c>
      <c r="I24" t="s">
        <v>18</v>
      </c>
      <c r="J24" t="s">
        <v>18</v>
      </c>
      <c r="K24" s="26" t="s">
        <v>18</v>
      </c>
      <c r="L24" t="s">
        <v>18</v>
      </c>
      <c r="M24" t="s">
        <v>18</v>
      </c>
      <c r="N24" t="s">
        <v>18</v>
      </c>
      <c r="O24" t="s">
        <v>18</v>
      </c>
    </row>
    <row r="25" spans="1:15" ht="18" customHeight="1" x14ac:dyDescent="0.15">
      <c r="A25" t="s">
        <v>18</v>
      </c>
      <c r="B25" t="s">
        <v>18</v>
      </c>
      <c r="C25" s="6" t="s">
        <v>73</v>
      </c>
      <c r="D25" s="7" t="s">
        <v>20</v>
      </c>
      <c r="E25" s="8">
        <v>0.17</v>
      </c>
      <c r="F25" t="s">
        <v>21</v>
      </c>
      <c r="G25" s="9">
        <v>10.199999999999999</v>
      </c>
      <c r="H25" s="10">
        <v>1.734</v>
      </c>
      <c r="I25" t="s">
        <v>18</v>
      </c>
      <c r="J25" t="s">
        <v>18</v>
      </c>
      <c r="K25" s="26" t="s">
        <v>18</v>
      </c>
      <c r="L25" t="s">
        <v>18</v>
      </c>
      <c r="M25" t="s">
        <v>18</v>
      </c>
      <c r="N25" t="s">
        <v>18</v>
      </c>
      <c r="O25" t="s">
        <v>18</v>
      </c>
    </row>
    <row r="26" spans="1:15" ht="18" customHeight="1" x14ac:dyDescent="0.15">
      <c r="A26" t="s">
        <v>18</v>
      </c>
      <c r="B26" t="s">
        <v>18</v>
      </c>
      <c r="C26" s="6" t="s">
        <v>214</v>
      </c>
      <c r="D26" s="7" t="s">
        <v>20</v>
      </c>
      <c r="E26" s="8">
        <v>0.03</v>
      </c>
      <c r="F26" t="s">
        <v>21</v>
      </c>
      <c r="G26" s="9">
        <v>13.859649122807017</v>
      </c>
      <c r="H26" s="10">
        <v>0.41578947368421049</v>
      </c>
      <c r="I26" t="s">
        <v>18</v>
      </c>
      <c r="J26" t="s">
        <v>18</v>
      </c>
      <c r="K26" s="26" t="s">
        <v>18</v>
      </c>
      <c r="L26" t="s">
        <v>18</v>
      </c>
      <c r="M26" t="s">
        <v>18</v>
      </c>
      <c r="N26" t="s">
        <v>18</v>
      </c>
      <c r="O26" t="s">
        <v>18</v>
      </c>
    </row>
    <row r="27" spans="1:15" ht="18" customHeight="1" x14ac:dyDescent="0.15">
      <c r="A27" t="s">
        <v>18</v>
      </c>
      <c r="B27" t="s">
        <v>18</v>
      </c>
      <c r="C27" s="6" t="s">
        <v>215</v>
      </c>
      <c r="D27" s="7" t="s">
        <v>20</v>
      </c>
      <c r="E27" s="8">
        <v>0.03</v>
      </c>
      <c r="F27" t="s">
        <v>21</v>
      </c>
      <c r="G27" s="9">
        <v>9.6599690880989186</v>
      </c>
      <c r="H27" s="10">
        <v>0.28979907264296756</v>
      </c>
      <c r="I27" t="s">
        <v>18</v>
      </c>
      <c r="J27" t="s">
        <v>18</v>
      </c>
      <c r="K27" s="26" t="s">
        <v>18</v>
      </c>
      <c r="L27" t="s">
        <v>18</v>
      </c>
      <c r="M27" t="s">
        <v>18</v>
      </c>
      <c r="N27" t="s">
        <v>18</v>
      </c>
      <c r="O27" t="s">
        <v>18</v>
      </c>
    </row>
    <row r="28" spans="1:15" ht="18" customHeight="1" x14ac:dyDescent="0.15">
      <c r="A28" t="s">
        <v>18</v>
      </c>
      <c r="B28" t="s">
        <v>18</v>
      </c>
      <c r="C28" s="6" t="s">
        <v>184</v>
      </c>
      <c r="D28" s="7" t="s">
        <v>20</v>
      </c>
      <c r="E28" s="8">
        <v>0.03</v>
      </c>
      <c r="F28" t="s">
        <v>21</v>
      </c>
      <c r="G28" s="9">
        <v>45</v>
      </c>
      <c r="H28" s="10">
        <v>1.3499999999999999</v>
      </c>
      <c r="I28" t="s">
        <v>18</v>
      </c>
      <c r="J28" t="s">
        <v>18</v>
      </c>
      <c r="K28" s="26" t="s">
        <v>18</v>
      </c>
      <c r="L28" t="s">
        <v>18</v>
      </c>
      <c r="M28" t="s">
        <v>18</v>
      </c>
      <c r="N28" t="s">
        <v>18</v>
      </c>
      <c r="O28" t="s">
        <v>18</v>
      </c>
    </row>
    <row r="29" spans="1:15" ht="18" customHeight="1" x14ac:dyDescent="0.15">
      <c r="A29" t="s">
        <v>18</v>
      </c>
      <c r="B29" t="s">
        <v>18</v>
      </c>
      <c r="C29" s="6" t="s">
        <v>122</v>
      </c>
      <c r="D29" s="7" t="s">
        <v>35</v>
      </c>
      <c r="E29" s="8">
        <v>0.15</v>
      </c>
      <c r="F29" t="s">
        <v>36</v>
      </c>
      <c r="G29" s="9">
        <v>40.46</v>
      </c>
      <c r="H29" s="10">
        <f>G29*E29</f>
        <v>6.069</v>
      </c>
      <c r="I29" t="s">
        <v>18</v>
      </c>
      <c r="J29" t="s">
        <v>18</v>
      </c>
      <c r="K29" s="26" t="s">
        <v>18</v>
      </c>
      <c r="L29" t="s">
        <v>18</v>
      </c>
      <c r="M29" t="s">
        <v>18</v>
      </c>
      <c r="N29" t="s">
        <v>18</v>
      </c>
      <c r="O29" t="s">
        <v>18</v>
      </c>
    </row>
    <row r="30" spans="1:15" ht="18" customHeight="1" x14ac:dyDescent="0.15">
      <c r="A30" t="s">
        <v>18</v>
      </c>
      <c r="B30" t="s">
        <v>18</v>
      </c>
      <c r="C30" s="6" t="s">
        <v>123</v>
      </c>
      <c r="D30" s="7" t="s">
        <v>35</v>
      </c>
      <c r="E30" s="8">
        <v>0.02</v>
      </c>
      <c r="F30" t="s">
        <v>36</v>
      </c>
      <c r="G30" s="9">
        <v>12.05</v>
      </c>
      <c r="H30" s="10">
        <v>0.24100000000000002</v>
      </c>
      <c r="I30" t="s">
        <v>18</v>
      </c>
      <c r="J30" t="s">
        <v>18</v>
      </c>
      <c r="K30" s="26" t="s">
        <v>18</v>
      </c>
      <c r="L30" t="s">
        <v>18</v>
      </c>
      <c r="M30" t="s">
        <v>18</v>
      </c>
      <c r="N30" t="s">
        <v>18</v>
      </c>
      <c r="O30" t="s">
        <v>18</v>
      </c>
    </row>
    <row r="31" spans="1:15" ht="18" customHeight="1" x14ac:dyDescent="0.15">
      <c r="A31" t="s">
        <v>18</v>
      </c>
      <c r="B31" t="s">
        <v>18</v>
      </c>
      <c r="C31" s="6" t="s">
        <v>26</v>
      </c>
      <c r="D31" s="7" t="s">
        <v>20</v>
      </c>
      <c r="E31" s="8">
        <v>1</v>
      </c>
      <c r="F31" t="s">
        <v>27</v>
      </c>
      <c r="G31" s="9">
        <v>2.35</v>
      </c>
      <c r="H31" s="10">
        <v>2.35</v>
      </c>
      <c r="I31" t="s">
        <v>18</v>
      </c>
      <c r="J31" t="s">
        <v>18</v>
      </c>
      <c r="K31" s="26" t="s">
        <v>18</v>
      </c>
      <c r="L31" t="s">
        <v>18</v>
      </c>
      <c r="M31" t="s">
        <v>18</v>
      </c>
      <c r="N31" t="s">
        <v>18</v>
      </c>
      <c r="O31" t="s">
        <v>18</v>
      </c>
    </row>
    <row r="33" spans="1:15" ht="20" customHeight="1" x14ac:dyDescent="0.15">
      <c r="A33" s="2" t="s">
        <v>216</v>
      </c>
      <c r="B33" s="2" t="s">
        <v>209</v>
      </c>
      <c r="C33" s="2" t="s">
        <v>18</v>
      </c>
      <c r="D33" s="2" t="s">
        <v>18</v>
      </c>
      <c r="E33" s="2" t="s">
        <v>18</v>
      </c>
      <c r="F33" s="2" t="s">
        <v>18</v>
      </c>
      <c r="G33" s="2" t="s">
        <v>18</v>
      </c>
      <c r="H33" s="2" t="s">
        <v>18</v>
      </c>
      <c r="I33" s="3">
        <v>59</v>
      </c>
      <c r="J33" s="3">
        <f>SUM(H34:H42)</f>
        <v>20.181899999999999</v>
      </c>
      <c r="K33" s="25">
        <f>J33/(I33/1.18)</f>
        <v>0.403638</v>
      </c>
      <c r="L33" s="5">
        <v>934</v>
      </c>
      <c r="M33" s="3">
        <f>L33*(I33/1.18)</f>
        <v>46700</v>
      </c>
      <c r="N33" s="3">
        <f>L33*J33</f>
        <v>18849.8946</v>
      </c>
      <c r="O33" s="4">
        <f>N33/M33</f>
        <v>0.403638</v>
      </c>
    </row>
    <row r="34" spans="1:15" ht="18" customHeight="1" x14ac:dyDescent="0.15">
      <c r="A34" t="s">
        <v>18</v>
      </c>
      <c r="B34" t="s">
        <v>18</v>
      </c>
      <c r="C34" s="6" t="s">
        <v>26</v>
      </c>
      <c r="D34" s="7" t="s">
        <v>20</v>
      </c>
      <c r="E34" s="8">
        <v>1</v>
      </c>
      <c r="F34" t="s">
        <v>27</v>
      </c>
      <c r="G34" s="9">
        <v>2.35</v>
      </c>
      <c r="H34" s="10">
        <v>2.35</v>
      </c>
      <c r="I34" t="s">
        <v>18</v>
      </c>
      <c r="J34" t="s">
        <v>18</v>
      </c>
      <c r="K34" s="26" t="s">
        <v>18</v>
      </c>
      <c r="L34" t="s">
        <v>18</v>
      </c>
      <c r="M34" t="s">
        <v>18</v>
      </c>
      <c r="N34" t="s">
        <v>18</v>
      </c>
      <c r="O34" t="s">
        <v>18</v>
      </c>
    </row>
    <row r="35" spans="1:15" ht="18" customHeight="1" x14ac:dyDescent="0.15">
      <c r="A35" t="s">
        <v>18</v>
      </c>
      <c r="B35" t="s">
        <v>18</v>
      </c>
      <c r="C35" s="6" t="s">
        <v>123</v>
      </c>
      <c r="D35" s="7" t="s">
        <v>35</v>
      </c>
      <c r="E35" s="8">
        <v>0.03</v>
      </c>
      <c r="F35" t="s">
        <v>36</v>
      </c>
      <c r="G35" s="9">
        <v>12.05</v>
      </c>
      <c r="H35" s="10">
        <v>0.36149999999999999</v>
      </c>
      <c r="I35" t="s">
        <v>18</v>
      </c>
      <c r="J35" t="s">
        <v>18</v>
      </c>
      <c r="K35" s="26" t="s">
        <v>18</v>
      </c>
      <c r="L35" t="s">
        <v>18</v>
      </c>
      <c r="M35" t="s">
        <v>18</v>
      </c>
      <c r="N35" t="s">
        <v>18</v>
      </c>
      <c r="O35" t="s">
        <v>18</v>
      </c>
    </row>
    <row r="36" spans="1:15" ht="18" customHeight="1" x14ac:dyDescent="0.15">
      <c r="A36" t="s">
        <v>18</v>
      </c>
      <c r="B36" t="s">
        <v>18</v>
      </c>
      <c r="C36" s="6" t="s">
        <v>122</v>
      </c>
      <c r="D36" s="7" t="s">
        <v>35</v>
      </c>
      <c r="E36" s="8">
        <v>0.15</v>
      </c>
      <c r="F36" t="s">
        <v>36</v>
      </c>
      <c r="G36" s="9">
        <v>40.46</v>
      </c>
      <c r="H36" s="10">
        <f>G36*E36</f>
        <v>6.069</v>
      </c>
      <c r="I36" t="s">
        <v>18</v>
      </c>
      <c r="J36" t="s">
        <v>18</v>
      </c>
      <c r="K36" s="26" t="s">
        <v>18</v>
      </c>
      <c r="L36" t="s">
        <v>18</v>
      </c>
      <c r="M36" t="s">
        <v>18</v>
      </c>
      <c r="N36" t="s">
        <v>18</v>
      </c>
      <c r="O36" t="s">
        <v>18</v>
      </c>
    </row>
    <row r="37" spans="1:15" ht="18" customHeight="1" x14ac:dyDescent="0.15">
      <c r="A37" t="s">
        <v>18</v>
      </c>
      <c r="B37" t="s">
        <v>18</v>
      </c>
      <c r="C37" s="6" t="s">
        <v>184</v>
      </c>
      <c r="D37" s="7" t="s">
        <v>20</v>
      </c>
      <c r="E37" s="8">
        <v>0.03</v>
      </c>
      <c r="F37" t="s">
        <v>21</v>
      </c>
      <c r="G37" s="9">
        <v>45</v>
      </c>
      <c r="H37" s="10">
        <v>1.3499999999999999</v>
      </c>
      <c r="I37" t="s">
        <v>18</v>
      </c>
      <c r="J37" t="s">
        <v>18</v>
      </c>
      <c r="K37" s="26" t="s">
        <v>18</v>
      </c>
      <c r="L37" t="s">
        <v>18</v>
      </c>
      <c r="M37" t="s">
        <v>18</v>
      </c>
      <c r="N37" t="s">
        <v>18</v>
      </c>
      <c r="O37" t="s">
        <v>18</v>
      </c>
    </row>
    <row r="38" spans="1:15" ht="18" customHeight="1" x14ac:dyDescent="0.15">
      <c r="A38" t="s">
        <v>18</v>
      </c>
      <c r="B38" t="s">
        <v>18</v>
      </c>
      <c r="C38" s="6" t="s">
        <v>48</v>
      </c>
      <c r="D38" s="7" t="s">
        <v>35</v>
      </c>
      <c r="E38" s="8">
        <v>0.1</v>
      </c>
      <c r="F38" t="s">
        <v>36</v>
      </c>
      <c r="G38" s="9">
        <v>30.22</v>
      </c>
      <c r="H38" s="10">
        <v>3.0220000000000002</v>
      </c>
      <c r="I38" t="s">
        <v>18</v>
      </c>
      <c r="J38" t="s">
        <v>18</v>
      </c>
      <c r="K38" s="26" t="s">
        <v>18</v>
      </c>
      <c r="L38" t="s">
        <v>18</v>
      </c>
      <c r="M38" t="s">
        <v>18</v>
      </c>
      <c r="N38" t="s">
        <v>18</v>
      </c>
      <c r="O38" t="s">
        <v>18</v>
      </c>
    </row>
    <row r="39" spans="1:15" ht="18" customHeight="1" x14ac:dyDescent="0.15">
      <c r="A39" t="s">
        <v>18</v>
      </c>
      <c r="B39" t="s">
        <v>18</v>
      </c>
      <c r="C39" s="6" t="s">
        <v>178</v>
      </c>
      <c r="D39" s="7" t="s">
        <v>20</v>
      </c>
      <c r="E39" s="8">
        <v>7.0000000000000007E-2</v>
      </c>
      <c r="F39" t="s">
        <v>21</v>
      </c>
      <c r="G39" s="9">
        <v>50</v>
      </c>
      <c r="H39" s="10">
        <v>3.5000000000000004</v>
      </c>
      <c r="I39" t="s">
        <v>18</v>
      </c>
      <c r="J39" t="s">
        <v>18</v>
      </c>
      <c r="K39" s="26" t="s">
        <v>18</v>
      </c>
      <c r="L39" t="s">
        <v>18</v>
      </c>
      <c r="M39" t="s">
        <v>18</v>
      </c>
      <c r="N39" t="s">
        <v>18</v>
      </c>
      <c r="O39" t="s">
        <v>18</v>
      </c>
    </row>
    <row r="40" spans="1:15" ht="18" customHeight="1" x14ac:dyDescent="0.15">
      <c r="A40" t="s">
        <v>18</v>
      </c>
      <c r="B40" t="s">
        <v>18</v>
      </c>
      <c r="C40" s="6" t="s">
        <v>173</v>
      </c>
      <c r="D40" s="7" t="s">
        <v>35</v>
      </c>
      <c r="E40" s="8">
        <v>0.03</v>
      </c>
      <c r="F40" t="s">
        <v>36</v>
      </c>
      <c r="G40" s="9">
        <v>19.739999999999998</v>
      </c>
      <c r="H40" s="10">
        <v>0.59219999999999995</v>
      </c>
      <c r="I40" t="s">
        <v>18</v>
      </c>
      <c r="J40" t="s">
        <v>18</v>
      </c>
      <c r="K40" s="26" t="s">
        <v>18</v>
      </c>
      <c r="L40" t="s">
        <v>18</v>
      </c>
      <c r="M40" t="s">
        <v>18</v>
      </c>
      <c r="N40" t="s">
        <v>18</v>
      </c>
      <c r="O40" t="s">
        <v>18</v>
      </c>
    </row>
    <row r="41" spans="1:15" ht="18" customHeight="1" x14ac:dyDescent="0.15">
      <c r="A41" t="s">
        <v>18</v>
      </c>
      <c r="B41" t="s">
        <v>18</v>
      </c>
      <c r="C41" s="6" t="s">
        <v>59</v>
      </c>
      <c r="D41" s="7" t="s">
        <v>20</v>
      </c>
      <c r="E41" s="8">
        <v>0.17</v>
      </c>
      <c r="F41" t="s">
        <v>21</v>
      </c>
      <c r="G41" s="9">
        <v>13.16</v>
      </c>
      <c r="H41" s="10">
        <v>2.2372000000000001</v>
      </c>
      <c r="I41" t="s">
        <v>18</v>
      </c>
      <c r="J41" t="s">
        <v>18</v>
      </c>
      <c r="K41" s="26" t="s">
        <v>18</v>
      </c>
      <c r="L41" t="s">
        <v>18</v>
      </c>
      <c r="M41" t="s">
        <v>18</v>
      </c>
      <c r="N41" t="s">
        <v>18</v>
      </c>
      <c r="O41" t="s">
        <v>18</v>
      </c>
    </row>
    <row r="42" spans="1:15" ht="18" customHeight="1" x14ac:dyDescent="0.15">
      <c r="A42" t="s">
        <v>18</v>
      </c>
      <c r="B42" t="s">
        <v>18</v>
      </c>
      <c r="C42" s="6" t="s">
        <v>30</v>
      </c>
      <c r="D42" s="7" t="s">
        <v>31</v>
      </c>
      <c r="E42" s="8">
        <v>1</v>
      </c>
      <c r="F42" t="s">
        <v>32</v>
      </c>
      <c r="G42" s="9">
        <v>0.7</v>
      </c>
      <c r="H42" s="10">
        <v>0.7</v>
      </c>
      <c r="I42" t="s">
        <v>18</v>
      </c>
      <c r="J42" t="s">
        <v>18</v>
      </c>
      <c r="K42" s="26" t="s">
        <v>18</v>
      </c>
      <c r="L42" t="s">
        <v>18</v>
      </c>
      <c r="M42" t="s">
        <v>18</v>
      </c>
      <c r="N42" t="s">
        <v>18</v>
      </c>
      <c r="O42" t="s">
        <v>18</v>
      </c>
    </row>
    <row r="44" spans="1:15" ht="20" customHeight="1" x14ac:dyDescent="0.15">
      <c r="A44" s="2" t="s">
        <v>217</v>
      </c>
      <c r="B44" s="2" t="s">
        <v>209</v>
      </c>
      <c r="C44" s="2" t="s">
        <v>18</v>
      </c>
      <c r="D44" s="2" t="s">
        <v>18</v>
      </c>
      <c r="E44" s="2" t="s">
        <v>18</v>
      </c>
      <c r="F44" s="2" t="s">
        <v>18</v>
      </c>
      <c r="G44" s="2" t="s">
        <v>18</v>
      </c>
      <c r="H44" s="2" t="s">
        <v>18</v>
      </c>
      <c r="I44" s="3">
        <v>69</v>
      </c>
      <c r="J44" s="3">
        <f>SUM(H45:H53)</f>
        <v>20.193899999999999</v>
      </c>
      <c r="K44" s="25">
        <f>J44/(I44/1.18)</f>
        <v>0.34534495652173913</v>
      </c>
      <c r="L44" s="5">
        <v>196</v>
      </c>
      <c r="M44" s="3">
        <f>L44*(I44/1.18)</f>
        <v>11461.016949152543</v>
      </c>
      <c r="N44" s="3">
        <f>L44*J44</f>
        <v>3958.0043999999998</v>
      </c>
      <c r="O44" s="4">
        <f>N44/M44</f>
        <v>0.34534495652173908</v>
      </c>
    </row>
    <row r="45" spans="1:15" ht="18" customHeight="1" x14ac:dyDescent="0.15">
      <c r="A45" t="s">
        <v>18</v>
      </c>
      <c r="B45" t="s">
        <v>18</v>
      </c>
      <c r="C45" s="6" t="s">
        <v>59</v>
      </c>
      <c r="D45" s="7" t="s">
        <v>20</v>
      </c>
      <c r="E45" s="8">
        <v>0.17</v>
      </c>
      <c r="F45" t="s">
        <v>21</v>
      </c>
      <c r="G45" s="9">
        <v>13.16</v>
      </c>
      <c r="H45" s="10">
        <v>2.2372000000000001</v>
      </c>
      <c r="I45" t="s">
        <v>18</v>
      </c>
      <c r="J45" t="s">
        <v>18</v>
      </c>
      <c r="K45" s="26" t="s">
        <v>18</v>
      </c>
      <c r="L45" t="s">
        <v>18</v>
      </c>
      <c r="M45" t="s">
        <v>18</v>
      </c>
      <c r="N45" t="s">
        <v>18</v>
      </c>
      <c r="O45" t="s">
        <v>18</v>
      </c>
    </row>
    <row r="46" spans="1:15" ht="18" customHeight="1" x14ac:dyDescent="0.15">
      <c r="A46" t="s">
        <v>18</v>
      </c>
      <c r="B46" t="s">
        <v>18</v>
      </c>
      <c r="C46" s="6" t="s">
        <v>30</v>
      </c>
      <c r="D46" s="7" t="s">
        <v>31</v>
      </c>
      <c r="E46" s="8">
        <v>1</v>
      </c>
      <c r="F46" t="s">
        <v>32</v>
      </c>
      <c r="G46" s="9">
        <v>0.7</v>
      </c>
      <c r="H46" s="10">
        <v>0.7</v>
      </c>
      <c r="I46" t="s">
        <v>18</v>
      </c>
      <c r="J46" t="s">
        <v>18</v>
      </c>
      <c r="K46" s="26" t="s">
        <v>18</v>
      </c>
      <c r="L46" t="s">
        <v>18</v>
      </c>
      <c r="M46" t="s">
        <v>18</v>
      </c>
      <c r="N46" t="s">
        <v>18</v>
      </c>
      <c r="O46" t="s">
        <v>18</v>
      </c>
    </row>
    <row r="47" spans="1:15" ht="18" customHeight="1" x14ac:dyDescent="0.15">
      <c r="A47" t="s">
        <v>18</v>
      </c>
      <c r="B47" t="s">
        <v>18</v>
      </c>
      <c r="C47" s="6" t="s">
        <v>48</v>
      </c>
      <c r="D47" s="7" t="s">
        <v>35</v>
      </c>
      <c r="E47" s="8">
        <v>0.06</v>
      </c>
      <c r="F47" t="s">
        <v>36</v>
      </c>
      <c r="G47" s="9">
        <v>30.22</v>
      </c>
      <c r="H47" s="10">
        <f>G47*E47</f>
        <v>1.8131999999999999</v>
      </c>
      <c r="I47" t="s">
        <v>18</v>
      </c>
      <c r="J47" t="s">
        <v>18</v>
      </c>
      <c r="K47" s="26" t="s">
        <v>18</v>
      </c>
      <c r="L47" t="s">
        <v>18</v>
      </c>
      <c r="M47" t="s">
        <v>18</v>
      </c>
      <c r="N47" t="s">
        <v>18</v>
      </c>
      <c r="O47" t="s">
        <v>18</v>
      </c>
    </row>
    <row r="48" spans="1:15" ht="18" customHeight="1" x14ac:dyDescent="0.15">
      <c r="A48" t="s">
        <v>18</v>
      </c>
      <c r="B48" t="s">
        <v>18</v>
      </c>
      <c r="C48" s="6" t="s">
        <v>123</v>
      </c>
      <c r="D48" s="7" t="s">
        <v>35</v>
      </c>
      <c r="E48" s="8">
        <v>0.01</v>
      </c>
      <c r="F48" t="s">
        <v>36</v>
      </c>
      <c r="G48" s="9">
        <v>12.05</v>
      </c>
      <c r="H48" s="10">
        <v>0.12050000000000001</v>
      </c>
      <c r="I48" t="s">
        <v>18</v>
      </c>
      <c r="J48" t="s">
        <v>18</v>
      </c>
      <c r="K48" s="26" t="s">
        <v>18</v>
      </c>
      <c r="L48" t="s">
        <v>18</v>
      </c>
      <c r="M48" t="s">
        <v>18</v>
      </c>
      <c r="N48" t="s">
        <v>18</v>
      </c>
      <c r="O48" t="s">
        <v>18</v>
      </c>
    </row>
    <row r="49" spans="1:15" ht="18" customHeight="1" x14ac:dyDescent="0.15">
      <c r="A49" t="s">
        <v>18</v>
      </c>
      <c r="B49" t="s">
        <v>18</v>
      </c>
      <c r="C49" s="6" t="s">
        <v>62</v>
      </c>
      <c r="D49" s="7" t="s">
        <v>35</v>
      </c>
      <c r="E49" s="8">
        <v>0.02</v>
      </c>
      <c r="F49" t="s">
        <v>36</v>
      </c>
      <c r="G49" s="9">
        <v>13.24</v>
      </c>
      <c r="H49" s="10">
        <v>0.26480000000000004</v>
      </c>
      <c r="I49" t="s">
        <v>18</v>
      </c>
      <c r="J49" t="s">
        <v>18</v>
      </c>
      <c r="K49" s="26" t="s">
        <v>18</v>
      </c>
      <c r="L49" t="s">
        <v>18</v>
      </c>
      <c r="M49" t="s">
        <v>18</v>
      </c>
      <c r="N49" t="s">
        <v>18</v>
      </c>
      <c r="O49" t="s">
        <v>18</v>
      </c>
    </row>
    <row r="50" spans="1:15" ht="18" customHeight="1" x14ac:dyDescent="0.15">
      <c r="A50" t="s">
        <v>18</v>
      </c>
      <c r="B50" t="s">
        <v>18</v>
      </c>
      <c r="C50" s="6" t="s">
        <v>122</v>
      </c>
      <c r="D50" s="7" t="s">
        <v>35</v>
      </c>
      <c r="E50" s="8">
        <v>0.15</v>
      </c>
      <c r="F50" t="s">
        <v>36</v>
      </c>
      <c r="G50" s="9">
        <v>40.46</v>
      </c>
      <c r="H50" s="10">
        <f>G50*E50</f>
        <v>6.069</v>
      </c>
      <c r="I50" t="s">
        <v>18</v>
      </c>
      <c r="J50" t="s">
        <v>18</v>
      </c>
      <c r="K50" s="26" t="s">
        <v>18</v>
      </c>
      <c r="L50" t="s">
        <v>18</v>
      </c>
      <c r="M50" t="s">
        <v>18</v>
      </c>
      <c r="N50" t="s">
        <v>18</v>
      </c>
      <c r="O50" t="s">
        <v>18</v>
      </c>
    </row>
    <row r="51" spans="1:15" ht="18" customHeight="1" x14ac:dyDescent="0.15">
      <c r="A51" t="s">
        <v>18</v>
      </c>
      <c r="B51" t="s">
        <v>18</v>
      </c>
      <c r="C51" s="6" t="s">
        <v>60</v>
      </c>
      <c r="D51" s="7" t="s">
        <v>35</v>
      </c>
      <c r="E51" s="8">
        <v>0.12</v>
      </c>
      <c r="F51" t="s">
        <v>36</v>
      </c>
      <c r="G51" s="9">
        <v>54.61</v>
      </c>
      <c r="H51" s="10">
        <f>G51*E51</f>
        <v>6.5531999999999995</v>
      </c>
      <c r="I51" t="s">
        <v>18</v>
      </c>
      <c r="J51" t="s">
        <v>18</v>
      </c>
      <c r="K51" s="26" t="s">
        <v>18</v>
      </c>
      <c r="L51" t="s">
        <v>18</v>
      </c>
      <c r="M51" t="s">
        <v>18</v>
      </c>
      <c r="N51" t="s">
        <v>18</v>
      </c>
      <c r="O51" t="s">
        <v>18</v>
      </c>
    </row>
    <row r="52" spans="1:15" ht="18" customHeight="1" x14ac:dyDescent="0.15">
      <c r="A52" t="s">
        <v>18</v>
      </c>
      <c r="B52" t="s">
        <v>18</v>
      </c>
      <c r="C52" s="6" t="s">
        <v>165</v>
      </c>
      <c r="D52" s="7" t="s">
        <v>35</v>
      </c>
      <c r="E52" s="8">
        <v>0.01</v>
      </c>
      <c r="F52" t="s">
        <v>36</v>
      </c>
      <c r="G52" s="9">
        <v>8.6</v>
      </c>
      <c r="H52" s="10">
        <v>8.5999999999999993E-2</v>
      </c>
      <c r="I52" t="s">
        <v>18</v>
      </c>
      <c r="J52" t="s">
        <v>18</v>
      </c>
      <c r="K52" s="26" t="s">
        <v>18</v>
      </c>
      <c r="L52" t="s">
        <v>18</v>
      </c>
      <c r="M52" t="s">
        <v>18</v>
      </c>
      <c r="N52" t="s">
        <v>18</v>
      </c>
      <c r="O52" t="s">
        <v>18</v>
      </c>
    </row>
    <row r="53" spans="1:15" ht="18" customHeight="1" x14ac:dyDescent="0.15">
      <c r="A53" t="s">
        <v>18</v>
      </c>
      <c r="B53" t="s">
        <v>18</v>
      </c>
      <c r="C53" s="6" t="s">
        <v>26</v>
      </c>
      <c r="D53" s="7" t="s">
        <v>20</v>
      </c>
      <c r="E53" s="8">
        <v>1</v>
      </c>
      <c r="F53" t="s">
        <v>27</v>
      </c>
      <c r="G53" s="9">
        <v>2.35</v>
      </c>
      <c r="H53" s="10">
        <v>2.35</v>
      </c>
      <c r="I53" t="s">
        <v>18</v>
      </c>
      <c r="J53" t="s">
        <v>18</v>
      </c>
      <c r="K53" s="26" t="s">
        <v>18</v>
      </c>
      <c r="L53" t="s">
        <v>18</v>
      </c>
      <c r="M53" t="s">
        <v>18</v>
      </c>
      <c r="N53" t="s">
        <v>18</v>
      </c>
      <c r="O53" t="s">
        <v>18</v>
      </c>
    </row>
    <row r="55" spans="1:15" ht="20" customHeight="1" x14ac:dyDescent="0.15">
      <c r="A55" s="2" t="s">
        <v>259</v>
      </c>
      <c r="B55" s="2" t="s">
        <v>209</v>
      </c>
      <c r="C55" s="2" t="s">
        <v>18</v>
      </c>
      <c r="D55" s="2" t="s">
        <v>18</v>
      </c>
      <c r="E55" s="2" t="s">
        <v>18</v>
      </c>
      <c r="F55" s="2" t="s">
        <v>18</v>
      </c>
      <c r="G55" s="2" t="s">
        <v>18</v>
      </c>
      <c r="H55" s="2" t="s">
        <v>18</v>
      </c>
      <c r="I55" s="3">
        <v>69</v>
      </c>
      <c r="J55" s="3">
        <f>SUM(H56:H64)</f>
        <v>19.4146</v>
      </c>
      <c r="K55" s="25">
        <f>J55/(I55/1.18)</f>
        <v>0.33201779710144924</v>
      </c>
      <c r="L55" s="5">
        <v>185</v>
      </c>
      <c r="M55" s="3">
        <f>L55*(I55/1.18)</f>
        <v>10817.796610169493</v>
      </c>
      <c r="N55" s="3">
        <f>L55*J55</f>
        <v>3591.701</v>
      </c>
      <c r="O55" s="4">
        <f>N55/M55</f>
        <v>0.33201779710144924</v>
      </c>
    </row>
    <row r="56" spans="1:15" ht="18" customHeight="1" x14ac:dyDescent="0.15">
      <c r="A56" t="s">
        <v>18</v>
      </c>
      <c r="B56" t="s">
        <v>18</v>
      </c>
      <c r="C56" s="6" t="s">
        <v>59</v>
      </c>
      <c r="D56" s="7" t="s">
        <v>20</v>
      </c>
      <c r="E56" s="8">
        <v>0.17</v>
      </c>
      <c r="F56" t="s">
        <v>21</v>
      </c>
      <c r="G56" s="9">
        <v>13.16</v>
      </c>
      <c r="H56" s="10">
        <v>2.2372000000000001</v>
      </c>
      <c r="I56" t="s">
        <v>18</v>
      </c>
      <c r="J56" t="s">
        <v>18</v>
      </c>
      <c r="K56" s="26" t="s">
        <v>18</v>
      </c>
      <c r="L56" t="s">
        <v>18</v>
      </c>
      <c r="M56" t="s">
        <v>18</v>
      </c>
      <c r="N56" t="s">
        <v>18</v>
      </c>
      <c r="O56" t="s">
        <v>18</v>
      </c>
    </row>
    <row r="57" spans="1:15" ht="18" customHeight="1" x14ac:dyDescent="0.15">
      <c r="A57" t="s">
        <v>18</v>
      </c>
      <c r="B57" t="s">
        <v>18</v>
      </c>
      <c r="C57" s="6" t="s">
        <v>47</v>
      </c>
      <c r="D57" s="7" t="s">
        <v>35</v>
      </c>
      <c r="E57" s="8">
        <v>0.03</v>
      </c>
      <c r="F57" t="s">
        <v>36</v>
      </c>
      <c r="G57" s="9">
        <v>28.9</v>
      </c>
      <c r="H57" s="10">
        <v>0.86699999999999988</v>
      </c>
      <c r="I57" t="s">
        <v>18</v>
      </c>
      <c r="J57" t="s">
        <v>18</v>
      </c>
      <c r="K57" s="26" t="s">
        <v>18</v>
      </c>
      <c r="L57" t="s">
        <v>18</v>
      </c>
      <c r="M57" t="s">
        <v>18</v>
      </c>
      <c r="N57" t="s">
        <v>18</v>
      </c>
      <c r="O57" t="s">
        <v>18</v>
      </c>
    </row>
    <row r="58" spans="1:15" ht="18" customHeight="1" x14ac:dyDescent="0.15">
      <c r="A58" t="s">
        <v>18</v>
      </c>
      <c r="B58" t="s">
        <v>18</v>
      </c>
      <c r="C58" s="6" t="s">
        <v>173</v>
      </c>
      <c r="D58" s="7" t="s">
        <v>35</v>
      </c>
      <c r="E58" s="8">
        <v>0.03</v>
      </c>
      <c r="F58" t="s">
        <v>36</v>
      </c>
      <c r="G58" s="9">
        <v>19.739999999999998</v>
      </c>
      <c r="H58" s="10">
        <v>0.59219999999999995</v>
      </c>
      <c r="I58" t="s">
        <v>18</v>
      </c>
      <c r="J58" t="s">
        <v>18</v>
      </c>
      <c r="K58" s="26" t="s">
        <v>18</v>
      </c>
      <c r="L58" t="s">
        <v>18</v>
      </c>
      <c r="M58" t="s">
        <v>18</v>
      </c>
      <c r="N58" t="s">
        <v>18</v>
      </c>
      <c r="O58" t="s">
        <v>18</v>
      </c>
    </row>
    <row r="59" spans="1:15" ht="18" customHeight="1" x14ac:dyDescent="0.15">
      <c r="A59" t="s">
        <v>18</v>
      </c>
      <c r="B59" t="s">
        <v>18</v>
      </c>
      <c r="C59" s="6" t="s">
        <v>123</v>
      </c>
      <c r="D59" s="7" t="s">
        <v>35</v>
      </c>
      <c r="E59" s="8">
        <v>0.03</v>
      </c>
      <c r="F59" t="s">
        <v>36</v>
      </c>
      <c r="G59" s="9">
        <v>12.05</v>
      </c>
      <c r="H59" s="10">
        <v>0.36149999999999999</v>
      </c>
      <c r="I59" t="s">
        <v>18</v>
      </c>
      <c r="J59" t="s">
        <v>18</v>
      </c>
      <c r="K59" s="26" t="s">
        <v>18</v>
      </c>
      <c r="L59" t="s">
        <v>18</v>
      </c>
      <c r="M59" t="s">
        <v>18</v>
      </c>
      <c r="N59" t="s">
        <v>18</v>
      </c>
      <c r="O59" t="s">
        <v>18</v>
      </c>
    </row>
    <row r="60" spans="1:15" ht="18" customHeight="1" x14ac:dyDescent="0.15">
      <c r="A60" t="s">
        <v>18</v>
      </c>
      <c r="B60" t="s">
        <v>18</v>
      </c>
      <c r="C60" s="6" t="s">
        <v>184</v>
      </c>
      <c r="D60" s="7" t="s">
        <v>20</v>
      </c>
      <c r="E60" s="8">
        <v>0.03</v>
      </c>
      <c r="F60" t="s">
        <v>21</v>
      </c>
      <c r="G60" s="9">
        <v>45</v>
      </c>
      <c r="H60" s="10">
        <v>1.3499999999999999</v>
      </c>
      <c r="I60" t="s">
        <v>18</v>
      </c>
      <c r="J60" t="s">
        <v>18</v>
      </c>
      <c r="K60" s="26" t="s">
        <v>18</v>
      </c>
      <c r="L60" t="s">
        <v>18</v>
      </c>
      <c r="M60" t="s">
        <v>18</v>
      </c>
      <c r="N60" t="s">
        <v>18</v>
      </c>
      <c r="O60" t="s">
        <v>18</v>
      </c>
    </row>
    <row r="61" spans="1:15" ht="18" customHeight="1" x14ac:dyDescent="0.15">
      <c r="A61" t="s">
        <v>18</v>
      </c>
      <c r="B61" t="s">
        <v>18</v>
      </c>
      <c r="C61" s="6" t="s">
        <v>28</v>
      </c>
      <c r="D61" s="7" t="s">
        <v>20</v>
      </c>
      <c r="E61" s="8">
        <v>0.01</v>
      </c>
      <c r="F61" t="s">
        <v>27</v>
      </c>
      <c r="G61" s="9">
        <v>2.5</v>
      </c>
      <c r="H61" s="10">
        <v>2.5000000000000001E-2</v>
      </c>
      <c r="I61" t="s">
        <v>18</v>
      </c>
      <c r="J61" t="s">
        <v>18</v>
      </c>
      <c r="K61" s="26" t="s">
        <v>18</v>
      </c>
      <c r="L61" t="s">
        <v>18</v>
      </c>
      <c r="M61" t="s">
        <v>18</v>
      </c>
      <c r="N61" t="s">
        <v>18</v>
      </c>
      <c r="O61" t="s">
        <v>18</v>
      </c>
    </row>
    <row r="62" spans="1:15" ht="18" customHeight="1" x14ac:dyDescent="0.15">
      <c r="A62" t="s">
        <v>18</v>
      </c>
      <c r="B62" t="s">
        <v>18</v>
      </c>
      <c r="C62" s="6" t="s">
        <v>60</v>
      </c>
      <c r="D62" s="7" t="s">
        <v>35</v>
      </c>
      <c r="E62" s="8">
        <v>0.05</v>
      </c>
      <c r="F62" t="s">
        <v>36</v>
      </c>
      <c r="G62" s="9">
        <v>54.61</v>
      </c>
      <c r="H62" s="10">
        <f>G62*E62</f>
        <v>2.7305000000000001</v>
      </c>
      <c r="I62" t="s">
        <v>18</v>
      </c>
      <c r="J62" t="s">
        <v>18</v>
      </c>
      <c r="K62" s="26" t="s">
        <v>18</v>
      </c>
      <c r="L62" t="s">
        <v>18</v>
      </c>
      <c r="M62" t="s">
        <v>18</v>
      </c>
      <c r="N62" t="s">
        <v>18</v>
      </c>
      <c r="O62" t="s">
        <v>18</v>
      </c>
    </row>
    <row r="63" spans="1:15" ht="18" customHeight="1" x14ac:dyDescent="0.15">
      <c r="A63" t="s">
        <v>18</v>
      </c>
      <c r="B63" t="s">
        <v>18</v>
      </c>
      <c r="C63" s="6" t="s">
        <v>122</v>
      </c>
      <c r="D63" s="7" t="s">
        <v>35</v>
      </c>
      <c r="E63" s="8">
        <v>0.22</v>
      </c>
      <c r="F63" t="s">
        <v>36</v>
      </c>
      <c r="G63" s="9">
        <v>40.46</v>
      </c>
      <c r="H63" s="10">
        <f>G63*E63</f>
        <v>8.9012000000000011</v>
      </c>
      <c r="I63" t="s">
        <v>18</v>
      </c>
      <c r="J63" t="s">
        <v>18</v>
      </c>
      <c r="K63" s="26" t="s">
        <v>18</v>
      </c>
      <c r="L63" t="s">
        <v>18</v>
      </c>
      <c r="M63" t="s">
        <v>18</v>
      </c>
      <c r="N63" t="s">
        <v>18</v>
      </c>
      <c r="O63" t="s">
        <v>18</v>
      </c>
    </row>
    <row r="64" spans="1:15" ht="18" customHeight="1" x14ac:dyDescent="0.15">
      <c r="A64" t="s">
        <v>18</v>
      </c>
      <c r="B64" t="s">
        <v>18</v>
      </c>
      <c r="C64" s="6" t="s">
        <v>26</v>
      </c>
      <c r="D64" s="7" t="s">
        <v>20</v>
      </c>
      <c r="E64" s="8">
        <v>1</v>
      </c>
      <c r="F64" t="s">
        <v>27</v>
      </c>
      <c r="G64" s="9">
        <v>2.35</v>
      </c>
      <c r="H64" s="10">
        <v>2.35</v>
      </c>
      <c r="I64" t="s">
        <v>18</v>
      </c>
      <c r="J64" t="s">
        <v>18</v>
      </c>
      <c r="K64" s="26" t="s">
        <v>18</v>
      </c>
      <c r="L64" t="s">
        <v>18</v>
      </c>
      <c r="M64" t="s">
        <v>18</v>
      </c>
      <c r="N64" t="s">
        <v>18</v>
      </c>
      <c r="O64" t="s">
        <v>18</v>
      </c>
    </row>
    <row r="66" spans="1:15" ht="20" customHeight="1" x14ac:dyDescent="0.15">
      <c r="A66" s="2" t="s">
        <v>218</v>
      </c>
      <c r="B66" s="2" t="s">
        <v>209</v>
      </c>
      <c r="C66" s="2" t="s">
        <v>18</v>
      </c>
      <c r="D66" s="2" t="s">
        <v>18</v>
      </c>
      <c r="E66" s="2" t="s">
        <v>18</v>
      </c>
      <c r="F66" s="2" t="s">
        <v>18</v>
      </c>
      <c r="G66" s="2" t="s">
        <v>18</v>
      </c>
      <c r="H66" s="2" t="s">
        <v>18</v>
      </c>
      <c r="I66" s="3">
        <v>69</v>
      </c>
      <c r="J66" s="3">
        <f>SUM(H67:H76)</f>
        <v>16.448800000000002</v>
      </c>
      <c r="K66" s="25">
        <f>J66/(I66/1.18)</f>
        <v>0.28129831884057971</v>
      </c>
      <c r="L66" s="5">
        <v>207</v>
      </c>
      <c r="M66" s="3">
        <f>L66*(I66/1.18)</f>
        <v>12104.237288135593</v>
      </c>
      <c r="N66" s="3">
        <f>L66*J66</f>
        <v>3404.9016000000006</v>
      </c>
      <c r="O66" s="4">
        <f>N66/M66</f>
        <v>0.28129831884057976</v>
      </c>
    </row>
    <row r="67" spans="1:15" ht="18" customHeight="1" x14ac:dyDescent="0.15">
      <c r="A67" t="s">
        <v>18</v>
      </c>
      <c r="B67" t="s">
        <v>18</v>
      </c>
      <c r="C67" s="6" t="s">
        <v>219</v>
      </c>
      <c r="D67" s="7" t="s">
        <v>20</v>
      </c>
      <c r="E67" s="8">
        <v>0.03</v>
      </c>
      <c r="F67" t="s">
        <v>21</v>
      </c>
      <c r="G67" s="9">
        <v>79.66</v>
      </c>
      <c r="H67" s="10">
        <v>2.3897999999999997</v>
      </c>
      <c r="I67" t="s">
        <v>18</v>
      </c>
      <c r="J67" t="s">
        <v>18</v>
      </c>
      <c r="K67" s="26" t="s">
        <v>18</v>
      </c>
      <c r="L67" t="s">
        <v>18</v>
      </c>
      <c r="M67" t="s">
        <v>18</v>
      </c>
      <c r="N67" t="s">
        <v>18</v>
      </c>
      <c r="O67" t="s">
        <v>18</v>
      </c>
    </row>
    <row r="68" spans="1:15" ht="18" customHeight="1" x14ac:dyDescent="0.15">
      <c r="A68" t="s">
        <v>18</v>
      </c>
      <c r="B68" t="s">
        <v>18</v>
      </c>
      <c r="C68" s="6" t="s">
        <v>30</v>
      </c>
      <c r="D68" s="7" t="s">
        <v>31</v>
      </c>
      <c r="E68" s="8">
        <v>1</v>
      </c>
      <c r="F68" t="s">
        <v>32</v>
      </c>
      <c r="G68" s="9">
        <v>7.0000000000000007E-2</v>
      </c>
      <c r="H68" s="10">
        <v>7.0000000000000007E-2</v>
      </c>
      <c r="I68" t="s">
        <v>18</v>
      </c>
      <c r="J68" t="s">
        <v>18</v>
      </c>
      <c r="K68" s="26" t="s">
        <v>18</v>
      </c>
      <c r="L68" t="s">
        <v>18</v>
      </c>
      <c r="M68" t="s">
        <v>18</v>
      </c>
      <c r="N68" t="s">
        <v>18</v>
      </c>
      <c r="O68" t="s">
        <v>18</v>
      </c>
    </row>
    <row r="69" spans="1:15" ht="18" customHeight="1" x14ac:dyDescent="0.15">
      <c r="A69" t="s">
        <v>18</v>
      </c>
      <c r="B69" t="s">
        <v>18</v>
      </c>
      <c r="C69" s="6" t="s">
        <v>61</v>
      </c>
      <c r="D69" s="7" t="s">
        <v>35</v>
      </c>
      <c r="E69" s="8">
        <v>0.03</v>
      </c>
      <c r="F69" t="s">
        <v>36</v>
      </c>
      <c r="G69" s="9">
        <v>16.52</v>
      </c>
      <c r="H69" s="10">
        <v>0.49559999999999998</v>
      </c>
      <c r="I69" t="s">
        <v>18</v>
      </c>
      <c r="J69" t="s">
        <v>18</v>
      </c>
      <c r="K69" s="26" t="s">
        <v>18</v>
      </c>
      <c r="L69" t="s">
        <v>18</v>
      </c>
      <c r="M69" t="s">
        <v>18</v>
      </c>
      <c r="N69" t="s">
        <v>18</v>
      </c>
      <c r="O69" t="s">
        <v>18</v>
      </c>
    </row>
    <row r="70" spans="1:15" ht="18" customHeight="1" x14ac:dyDescent="0.15">
      <c r="A70" t="s">
        <v>18</v>
      </c>
      <c r="B70" t="s">
        <v>18</v>
      </c>
      <c r="C70" s="6" t="s">
        <v>173</v>
      </c>
      <c r="D70" s="7" t="s">
        <v>35</v>
      </c>
      <c r="E70" s="8">
        <v>0.03</v>
      </c>
      <c r="F70" t="s">
        <v>36</v>
      </c>
      <c r="G70" s="9">
        <v>19.739999999999998</v>
      </c>
      <c r="H70" s="10">
        <v>0.59219999999999995</v>
      </c>
      <c r="I70" t="s">
        <v>18</v>
      </c>
      <c r="J70" t="s">
        <v>18</v>
      </c>
      <c r="K70" s="26" t="s">
        <v>18</v>
      </c>
      <c r="L70" t="s">
        <v>18</v>
      </c>
      <c r="M70" t="s">
        <v>18</v>
      </c>
      <c r="N70" t="s">
        <v>18</v>
      </c>
      <c r="O70" t="s">
        <v>18</v>
      </c>
    </row>
    <row r="71" spans="1:15" ht="18" customHeight="1" x14ac:dyDescent="0.15">
      <c r="A71" t="s">
        <v>18</v>
      </c>
      <c r="B71" t="s">
        <v>18</v>
      </c>
      <c r="C71" s="6" t="s">
        <v>140</v>
      </c>
      <c r="D71" s="7" t="s">
        <v>20</v>
      </c>
      <c r="E71" s="8">
        <v>0.03</v>
      </c>
      <c r="F71" t="s">
        <v>21</v>
      </c>
      <c r="G71" s="9">
        <v>29</v>
      </c>
      <c r="H71" s="10">
        <v>0.87</v>
      </c>
      <c r="I71" t="s">
        <v>18</v>
      </c>
      <c r="J71" t="s">
        <v>18</v>
      </c>
      <c r="K71" s="26" t="s">
        <v>18</v>
      </c>
      <c r="L71" t="s">
        <v>18</v>
      </c>
      <c r="M71" t="s">
        <v>18</v>
      </c>
      <c r="N71" t="s">
        <v>18</v>
      </c>
      <c r="O71" t="s">
        <v>18</v>
      </c>
    </row>
    <row r="72" spans="1:15" ht="18" customHeight="1" x14ac:dyDescent="0.15">
      <c r="A72" t="s">
        <v>18</v>
      </c>
      <c r="B72" t="s">
        <v>18</v>
      </c>
      <c r="C72" s="6" t="s">
        <v>184</v>
      </c>
      <c r="D72" s="7" t="s">
        <v>20</v>
      </c>
      <c r="E72" s="8">
        <v>0.03</v>
      </c>
      <c r="F72" t="s">
        <v>21</v>
      </c>
      <c r="G72" s="9">
        <v>45</v>
      </c>
      <c r="H72" s="10">
        <v>1.3499999999999999</v>
      </c>
      <c r="I72" t="s">
        <v>18</v>
      </c>
      <c r="J72" t="s">
        <v>18</v>
      </c>
      <c r="K72" s="26" t="s">
        <v>18</v>
      </c>
      <c r="L72" t="s">
        <v>18</v>
      </c>
      <c r="M72" t="s">
        <v>18</v>
      </c>
      <c r="N72" t="s">
        <v>18</v>
      </c>
      <c r="O72" t="s">
        <v>18</v>
      </c>
    </row>
    <row r="73" spans="1:15" ht="18" customHeight="1" x14ac:dyDescent="0.15">
      <c r="A73" t="s">
        <v>18</v>
      </c>
      <c r="B73" t="s">
        <v>18</v>
      </c>
      <c r="C73" s="6" t="s">
        <v>26</v>
      </c>
      <c r="D73" s="7" t="s">
        <v>20</v>
      </c>
      <c r="E73" s="8">
        <v>1</v>
      </c>
      <c r="F73" t="s">
        <v>27</v>
      </c>
      <c r="G73" s="9">
        <v>2.35</v>
      </c>
      <c r="H73" s="10">
        <v>2.35</v>
      </c>
      <c r="I73" t="s">
        <v>18</v>
      </c>
      <c r="J73" t="s">
        <v>18</v>
      </c>
      <c r="K73" s="26" t="s">
        <v>18</v>
      </c>
      <c r="L73" t="s">
        <v>18</v>
      </c>
      <c r="M73" t="s">
        <v>18</v>
      </c>
      <c r="N73" t="s">
        <v>18</v>
      </c>
      <c r="O73" t="s">
        <v>18</v>
      </c>
    </row>
    <row r="74" spans="1:15" ht="18" customHeight="1" x14ac:dyDescent="0.15">
      <c r="A74" t="s">
        <v>18</v>
      </c>
      <c r="B74" t="s">
        <v>18</v>
      </c>
      <c r="C74" s="6" t="s">
        <v>28</v>
      </c>
      <c r="D74" s="7" t="s">
        <v>20</v>
      </c>
      <c r="E74" s="8">
        <v>0.01</v>
      </c>
      <c r="F74" t="s">
        <v>27</v>
      </c>
      <c r="G74" s="9">
        <v>2.5</v>
      </c>
      <c r="H74" s="10">
        <v>2.5000000000000001E-2</v>
      </c>
      <c r="I74" t="s">
        <v>18</v>
      </c>
      <c r="J74" t="s">
        <v>18</v>
      </c>
      <c r="K74" s="26" t="s">
        <v>18</v>
      </c>
      <c r="L74" t="s">
        <v>18</v>
      </c>
      <c r="M74" t="s">
        <v>18</v>
      </c>
      <c r="N74" t="s">
        <v>18</v>
      </c>
      <c r="O74" t="s">
        <v>18</v>
      </c>
    </row>
    <row r="75" spans="1:15" ht="18" customHeight="1" x14ac:dyDescent="0.15">
      <c r="A75" t="s">
        <v>18</v>
      </c>
      <c r="B75" t="s">
        <v>18</v>
      </c>
      <c r="C75" s="6" t="s">
        <v>122</v>
      </c>
      <c r="D75" s="7" t="s">
        <v>35</v>
      </c>
      <c r="E75" s="8">
        <v>0.15</v>
      </c>
      <c r="F75" t="s">
        <v>36</v>
      </c>
      <c r="G75" s="9">
        <v>40.46</v>
      </c>
      <c r="H75" s="10">
        <f>G75*E75</f>
        <v>6.069</v>
      </c>
      <c r="I75" t="s">
        <v>18</v>
      </c>
      <c r="J75" t="s">
        <v>18</v>
      </c>
      <c r="K75" s="26" t="s">
        <v>18</v>
      </c>
      <c r="L75" t="s">
        <v>18</v>
      </c>
      <c r="M75" t="s">
        <v>18</v>
      </c>
      <c r="N75" t="s">
        <v>18</v>
      </c>
      <c r="O75" t="s">
        <v>18</v>
      </c>
    </row>
    <row r="76" spans="1:15" ht="18" customHeight="1" x14ac:dyDescent="0.15">
      <c r="A76" t="s">
        <v>18</v>
      </c>
      <c r="B76" t="s">
        <v>18</v>
      </c>
      <c r="C76" s="6" t="s">
        <v>59</v>
      </c>
      <c r="D76" s="7" t="s">
        <v>20</v>
      </c>
      <c r="E76" s="8">
        <v>0.17</v>
      </c>
      <c r="F76" t="s">
        <v>21</v>
      </c>
      <c r="G76" s="9">
        <v>13.16</v>
      </c>
      <c r="H76" s="10">
        <v>2.2372000000000001</v>
      </c>
      <c r="I76" t="s">
        <v>18</v>
      </c>
      <c r="J76" t="s">
        <v>18</v>
      </c>
      <c r="K76" s="26" t="s">
        <v>18</v>
      </c>
      <c r="L76" t="s">
        <v>18</v>
      </c>
      <c r="M76" t="s">
        <v>18</v>
      </c>
      <c r="N76" t="s">
        <v>18</v>
      </c>
      <c r="O76" t="s">
        <v>18</v>
      </c>
    </row>
    <row r="78" spans="1:15" ht="20" customHeight="1" x14ac:dyDescent="0.15">
      <c r="A78" s="2" t="s">
        <v>220</v>
      </c>
      <c r="B78" s="2" t="s">
        <v>209</v>
      </c>
      <c r="C78" s="2" t="s">
        <v>18</v>
      </c>
      <c r="D78" s="2" t="s">
        <v>18</v>
      </c>
      <c r="E78" s="2" t="s">
        <v>18</v>
      </c>
      <c r="F78" s="2" t="s">
        <v>18</v>
      </c>
      <c r="G78" s="2" t="s">
        <v>18</v>
      </c>
      <c r="H78" s="2" t="s">
        <v>18</v>
      </c>
      <c r="I78" s="3">
        <v>48</v>
      </c>
      <c r="J78" s="3">
        <f>SUM(H79:H93)</f>
        <v>14.0045</v>
      </c>
      <c r="K78" s="25">
        <f>J78/(I78/1.18)</f>
        <v>0.34427729166666665</v>
      </c>
      <c r="L78" s="5">
        <v>199</v>
      </c>
      <c r="M78" s="3">
        <f>L78*(I78/1.18)</f>
        <v>8094.9152542372894</v>
      </c>
      <c r="N78" s="3">
        <f>L78*J78</f>
        <v>2786.8955000000001</v>
      </c>
      <c r="O78" s="4">
        <f>N78/M78</f>
        <v>0.3442772916666666</v>
      </c>
    </row>
    <row r="79" spans="1:15" ht="18" customHeight="1" x14ac:dyDescent="0.15">
      <c r="A79" t="s">
        <v>18</v>
      </c>
      <c r="B79" t="s">
        <v>18</v>
      </c>
      <c r="C79" s="6" t="s">
        <v>124</v>
      </c>
      <c r="D79" s="7" t="s">
        <v>35</v>
      </c>
      <c r="E79" s="8">
        <v>0.05</v>
      </c>
      <c r="F79" t="s">
        <v>36</v>
      </c>
      <c r="G79" s="9">
        <v>8.3000000000000007</v>
      </c>
      <c r="H79" s="10">
        <v>0.41500000000000004</v>
      </c>
      <c r="I79" t="s">
        <v>18</v>
      </c>
      <c r="J79" t="s">
        <v>18</v>
      </c>
      <c r="K79" s="26" t="s">
        <v>18</v>
      </c>
      <c r="L79" t="s">
        <v>18</v>
      </c>
      <c r="M79" t="s">
        <v>18</v>
      </c>
      <c r="N79" t="s">
        <v>18</v>
      </c>
      <c r="O79" t="s">
        <v>18</v>
      </c>
    </row>
    <row r="80" spans="1:15" ht="18" customHeight="1" x14ac:dyDescent="0.15">
      <c r="A80" t="s">
        <v>18</v>
      </c>
      <c r="B80" t="s">
        <v>18</v>
      </c>
      <c r="C80" s="6" t="s">
        <v>26</v>
      </c>
      <c r="D80" s="7" t="s">
        <v>20</v>
      </c>
      <c r="E80" s="8">
        <v>1</v>
      </c>
      <c r="F80" t="s">
        <v>27</v>
      </c>
      <c r="G80" s="9">
        <v>2.35</v>
      </c>
      <c r="H80" s="10">
        <v>2.35</v>
      </c>
      <c r="I80" t="s">
        <v>18</v>
      </c>
      <c r="J80" t="s">
        <v>18</v>
      </c>
      <c r="K80" s="26" t="s">
        <v>18</v>
      </c>
      <c r="L80" t="s">
        <v>18</v>
      </c>
      <c r="M80" t="s">
        <v>18</v>
      </c>
      <c r="N80" t="s">
        <v>18</v>
      </c>
      <c r="O80" t="s">
        <v>18</v>
      </c>
    </row>
    <row r="81" spans="1:15" ht="18" customHeight="1" x14ac:dyDescent="0.15">
      <c r="A81" t="s">
        <v>18</v>
      </c>
      <c r="B81" t="s">
        <v>18</v>
      </c>
      <c r="C81" s="6" t="s">
        <v>221</v>
      </c>
      <c r="D81" s="7" t="s">
        <v>20</v>
      </c>
      <c r="E81" s="8">
        <v>1.4999999999999999E-2</v>
      </c>
      <c r="F81" t="s">
        <v>27</v>
      </c>
      <c r="G81" s="9">
        <v>8</v>
      </c>
      <c r="H81" s="10">
        <v>0.12</v>
      </c>
      <c r="I81" t="s">
        <v>18</v>
      </c>
      <c r="J81" t="s">
        <v>18</v>
      </c>
      <c r="K81" s="26" t="s">
        <v>18</v>
      </c>
      <c r="L81" t="s">
        <v>18</v>
      </c>
      <c r="M81" t="s">
        <v>18</v>
      </c>
      <c r="N81" t="s">
        <v>18</v>
      </c>
      <c r="O81" t="s">
        <v>18</v>
      </c>
    </row>
    <row r="82" spans="1:15" ht="18" customHeight="1" x14ac:dyDescent="0.15">
      <c r="A82" t="s">
        <v>18</v>
      </c>
      <c r="B82" t="s">
        <v>18</v>
      </c>
      <c r="C82" s="6" t="s">
        <v>68</v>
      </c>
      <c r="D82" s="7" t="s">
        <v>35</v>
      </c>
      <c r="E82" s="8">
        <v>0.01</v>
      </c>
      <c r="F82" t="s">
        <v>36</v>
      </c>
      <c r="G82" s="9">
        <v>16.09</v>
      </c>
      <c r="H82" s="10">
        <v>0.16090000000000002</v>
      </c>
      <c r="I82" t="s">
        <v>18</v>
      </c>
      <c r="J82" t="s">
        <v>18</v>
      </c>
      <c r="K82" s="26" t="s">
        <v>18</v>
      </c>
      <c r="L82" t="s">
        <v>18</v>
      </c>
      <c r="M82" t="s">
        <v>18</v>
      </c>
      <c r="N82" t="s">
        <v>18</v>
      </c>
      <c r="O82" t="s">
        <v>18</v>
      </c>
    </row>
    <row r="83" spans="1:15" ht="18" customHeight="1" x14ac:dyDescent="0.15">
      <c r="A83" t="s">
        <v>18</v>
      </c>
      <c r="B83" t="s">
        <v>18</v>
      </c>
      <c r="C83" s="6" t="s">
        <v>123</v>
      </c>
      <c r="D83" s="7" t="s">
        <v>35</v>
      </c>
      <c r="E83" s="8">
        <v>0.03</v>
      </c>
      <c r="F83" t="s">
        <v>36</v>
      </c>
      <c r="G83" s="9">
        <v>12.05</v>
      </c>
      <c r="H83" s="10">
        <v>0.36149999999999999</v>
      </c>
      <c r="I83" t="s">
        <v>18</v>
      </c>
      <c r="J83" t="s">
        <v>18</v>
      </c>
      <c r="K83" s="26" t="s">
        <v>18</v>
      </c>
      <c r="L83" t="s">
        <v>18</v>
      </c>
      <c r="M83" t="s">
        <v>18</v>
      </c>
      <c r="N83" t="s">
        <v>18</v>
      </c>
      <c r="O83" t="s">
        <v>18</v>
      </c>
    </row>
    <row r="84" spans="1:15" ht="18" customHeight="1" x14ac:dyDescent="0.15">
      <c r="A84" t="s">
        <v>18</v>
      </c>
      <c r="B84" t="s">
        <v>18</v>
      </c>
      <c r="C84" s="6" t="s">
        <v>167</v>
      </c>
      <c r="D84" s="7" t="s">
        <v>35</v>
      </c>
      <c r="E84" s="8">
        <v>0.03</v>
      </c>
      <c r="F84" t="s">
        <v>36</v>
      </c>
      <c r="G84" s="9">
        <v>30.37</v>
      </c>
      <c r="H84" s="10">
        <v>0.91110000000000002</v>
      </c>
      <c r="I84" t="s">
        <v>18</v>
      </c>
      <c r="J84" t="s">
        <v>18</v>
      </c>
      <c r="K84" s="26" t="s">
        <v>18</v>
      </c>
      <c r="L84" t="s">
        <v>18</v>
      </c>
      <c r="M84" t="s">
        <v>18</v>
      </c>
      <c r="N84" t="s">
        <v>18</v>
      </c>
      <c r="O84" t="s">
        <v>18</v>
      </c>
    </row>
    <row r="85" spans="1:15" ht="18" customHeight="1" x14ac:dyDescent="0.15">
      <c r="A85" t="s">
        <v>18</v>
      </c>
      <c r="B85" t="s">
        <v>18</v>
      </c>
      <c r="C85" s="6" t="s">
        <v>126</v>
      </c>
      <c r="D85" s="7" t="s">
        <v>20</v>
      </c>
      <c r="E85" s="8">
        <v>0.04</v>
      </c>
      <c r="F85" t="s">
        <v>21</v>
      </c>
      <c r="G85" s="9">
        <v>10</v>
      </c>
      <c r="H85" s="10">
        <v>0.4</v>
      </c>
      <c r="I85" t="s">
        <v>18</v>
      </c>
      <c r="J85" t="s">
        <v>18</v>
      </c>
      <c r="K85" s="26" t="s">
        <v>18</v>
      </c>
      <c r="L85" t="s">
        <v>18</v>
      </c>
      <c r="M85" t="s">
        <v>18</v>
      </c>
      <c r="N85" t="s">
        <v>18</v>
      </c>
      <c r="O85" t="s">
        <v>18</v>
      </c>
    </row>
    <row r="86" spans="1:15" ht="18" customHeight="1" x14ac:dyDescent="0.15">
      <c r="A86" t="s">
        <v>18</v>
      </c>
      <c r="B86" t="s">
        <v>18</v>
      </c>
      <c r="C86" s="6" t="s">
        <v>124</v>
      </c>
      <c r="D86" s="7" t="s">
        <v>35</v>
      </c>
      <c r="E86" s="8">
        <v>0.02</v>
      </c>
      <c r="F86" t="s">
        <v>36</v>
      </c>
      <c r="G86" s="9">
        <v>8.3000000000000007</v>
      </c>
      <c r="H86" s="10">
        <v>0.16600000000000001</v>
      </c>
      <c r="I86" t="s">
        <v>18</v>
      </c>
      <c r="J86" t="s">
        <v>18</v>
      </c>
      <c r="K86" s="26" t="s">
        <v>18</v>
      </c>
      <c r="L86" t="s">
        <v>18</v>
      </c>
      <c r="M86" t="s">
        <v>18</v>
      </c>
      <c r="N86" t="s">
        <v>18</v>
      </c>
      <c r="O86" t="s">
        <v>18</v>
      </c>
    </row>
    <row r="87" spans="1:15" ht="18" customHeight="1" x14ac:dyDescent="0.15">
      <c r="A87" t="s">
        <v>18</v>
      </c>
      <c r="B87" t="s">
        <v>18</v>
      </c>
      <c r="C87" s="6" t="s">
        <v>222</v>
      </c>
      <c r="D87" s="7" t="s">
        <v>20</v>
      </c>
      <c r="E87" s="8">
        <v>0.03</v>
      </c>
      <c r="F87" t="s">
        <v>21</v>
      </c>
      <c r="G87" s="9">
        <v>28</v>
      </c>
      <c r="H87" s="10">
        <v>0.84</v>
      </c>
      <c r="I87" t="s">
        <v>18</v>
      </c>
      <c r="J87" t="s">
        <v>18</v>
      </c>
      <c r="K87" s="26" t="s">
        <v>18</v>
      </c>
      <c r="L87" t="s">
        <v>18</v>
      </c>
      <c r="M87" t="s">
        <v>18</v>
      </c>
      <c r="N87" t="s">
        <v>18</v>
      </c>
      <c r="O87" t="s">
        <v>18</v>
      </c>
    </row>
    <row r="88" spans="1:15" ht="18" customHeight="1" x14ac:dyDescent="0.15">
      <c r="A88" t="s">
        <v>18</v>
      </c>
      <c r="B88" t="s">
        <v>18</v>
      </c>
      <c r="C88" s="6" t="s">
        <v>142</v>
      </c>
      <c r="D88" s="7" t="s">
        <v>20</v>
      </c>
      <c r="E88" s="8">
        <v>0.02</v>
      </c>
      <c r="F88" t="s">
        <v>21</v>
      </c>
      <c r="G88" s="9">
        <v>14</v>
      </c>
      <c r="H88" s="10">
        <f>G88*E88</f>
        <v>0.28000000000000003</v>
      </c>
      <c r="I88" t="s">
        <v>18</v>
      </c>
      <c r="J88" t="s">
        <v>18</v>
      </c>
      <c r="K88" s="26" t="s">
        <v>18</v>
      </c>
      <c r="L88" t="s">
        <v>18</v>
      </c>
      <c r="M88" t="s">
        <v>18</v>
      </c>
      <c r="N88" t="s">
        <v>18</v>
      </c>
      <c r="O88" t="s">
        <v>18</v>
      </c>
    </row>
    <row r="89" spans="1:15" ht="18" customHeight="1" x14ac:dyDescent="0.15">
      <c r="A89" t="s">
        <v>18</v>
      </c>
      <c r="B89" t="s">
        <v>18</v>
      </c>
      <c r="C89" s="6" t="s">
        <v>165</v>
      </c>
      <c r="D89" s="7" t="s">
        <v>35</v>
      </c>
      <c r="E89" s="8">
        <v>0.01</v>
      </c>
      <c r="F89" t="s">
        <v>36</v>
      </c>
      <c r="G89" s="9">
        <v>8.6</v>
      </c>
      <c r="H89" s="10">
        <v>8.5999999999999993E-2</v>
      </c>
      <c r="I89" t="s">
        <v>18</v>
      </c>
      <c r="J89" t="s">
        <v>18</v>
      </c>
      <c r="K89" s="26" t="s">
        <v>18</v>
      </c>
      <c r="L89" t="s">
        <v>18</v>
      </c>
      <c r="M89" t="s">
        <v>18</v>
      </c>
      <c r="N89" t="s">
        <v>18</v>
      </c>
      <c r="O89" t="s">
        <v>18</v>
      </c>
    </row>
    <row r="90" spans="1:15" ht="18" customHeight="1" x14ac:dyDescent="0.15">
      <c r="A90" t="s">
        <v>18</v>
      </c>
      <c r="B90" t="s">
        <v>18</v>
      </c>
      <c r="C90" s="6" t="s">
        <v>30</v>
      </c>
      <c r="D90" s="7" t="s">
        <v>31</v>
      </c>
      <c r="E90" s="8">
        <v>1</v>
      </c>
      <c r="F90" t="s">
        <v>32</v>
      </c>
      <c r="G90" s="9">
        <v>0.7</v>
      </c>
      <c r="H90" s="10">
        <v>0.7</v>
      </c>
      <c r="I90" t="s">
        <v>18</v>
      </c>
      <c r="J90" t="s">
        <v>18</v>
      </c>
      <c r="K90" s="26" t="s">
        <v>18</v>
      </c>
      <c r="L90" t="s">
        <v>18</v>
      </c>
      <c r="M90" t="s">
        <v>18</v>
      </c>
      <c r="N90" t="s">
        <v>18</v>
      </c>
      <c r="O90" t="s">
        <v>18</v>
      </c>
    </row>
    <row r="91" spans="1:15" ht="18" customHeight="1" x14ac:dyDescent="0.15">
      <c r="A91" t="s">
        <v>18</v>
      </c>
      <c r="B91" t="s">
        <v>18</v>
      </c>
      <c r="C91" s="6" t="s">
        <v>122</v>
      </c>
      <c r="D91" s="7" t="s">
        <v>35</v>
      </c>
      <c r="E91" s="8">
        <v>0.15</v>
      </c>
      <c r="F91" t="s">
        <v>36</v>
      </c>
      <c r="G91" s="9">
        <v>40.46</v>
      </c>
      <c r="H91" s="10">
        <f>G91*E91</f>
        <v>6.069</v>
      </c>
      <c r="I91" t="s">
        <v>18</v>
      </c>
      <c r="J91" t="s">
        <v>18</v>
      </c>
      <c r="K91" s="26" t="s">
        <v>18</v>
      </c>
      <c r="L91" t="s">
        <v>18</v>
      </c>
      <c r="M91" t="s">
        <v>18</v>
      </c>
      <c r="N91" t="s">
        <v>18</v>
      </c>
      <c r="O91" t="s">
        <v>18</v>
      </c>
    </row>
    <row r="92" spans="1:15" ht="18" customHeight="1" x14ac:dyDescent="0.15">
      <c r="A92" t="s">
        <v>18</v>
      </c>
      <c r="B92" t="s">
        <v>18</v>
      </c>
      <c r="C92" s="6" t="s">
        <v>140</v>
      </c>
      <c r="D92" s="7" t="s">
        <v>20</v>
      </c>
      <c r="E92" s="8">
        <v>0.03</v>
      </c>
      <c r="F92" t="s">
        <v>21</v>
      </c>
      <c r="G92" s="9">
        <v>29</v>
      </c>
      <c r="H92" s="10">
        <v>0.87</v>
      </c>
      <c r="I92" t="s">
        <v>18</v>
      </c>
      <c r="J92" t="s">
        <v>18</v>
      </c>
      <c r="K92" s="26" t="s">
        <v>18</v>
      </c>
      <c r="L92" t="s">
        <v>18</v>
      </c>
      <c r="M92" t="s">
        <v>18</v>
      </c>
      <c r="N92" t="s">
        <v>18</v>
      </c>
      <c r="O92" t="s">
        <v>18</v>
      </c>
    </row>
    <row r="93" spans="1:15" ht="18" customHeight="1" x14ac:dyDescent="0.15">
      <c r="A93" t="s">
        <v>18</v>
      </c>
      <c r="B93" t="s">
        <v>18</v>
      </c>
      <c r="C93" s="6" t="s">
        <v>143</v>
      </c>
      <c r="D93" s="7" t="s">
        <v>20</v>
      </c>
      <c r="E93" s="8">
        <v>0.05</v>
      </c>
      <c r="F93" t="s">
        <v>21</v>
      </c>
      <c r="G93" s="9">
        <v>5.5</v>
      </c>
      <c r="H93" s="10">
        <v>0.27500000000000002</v>
      </c>
      <c r="I93" t="s">
        <v>18</v>
      </c>
      <c r="J93" t="s">
        <v>18</v>
      </c>
      <c r="K93" s="26" t="s">
        <v>18</v>
      </c>
      <c r="L93" t="s">
        <v>18</v>
      </c>
      <c r="M93" t="s">
        <v>18</v>
      </c>
      <c r="N93" t="s">
        <v>18</v>
      </c>
      <c r="O93" t="s">
        <v>18</v>
      </c>
    </row>
    <row r="95" spans="1:15" ht="20" customHeight="1" x14ac:dyDescent="0.15">
      <c r="A95" s="2" t="s">
        <v>223</v>
      </c>
      <c r="B95" s="2" t="s">
        <v>209</v>
      </c>
      <c r="C95" s="2" t="s">
        <v>18</v>
      </c>
      <c r="D95" s="2" t="s">
        <v>18</v>
      </c>
      <c r="E95" s="2" t="s">
        <v>18</v>
      </c>
      <c r="F95" s="2" t="s">
        <v>18</v>
      </c>
      <c r="G95" s="2" t="s">
        <v>18</v>
      </c>
      <c r="H95" s="2" t="s">
        <v>18</v>
      </c>
      <c r="I95" s="3">
        <v>48</v>
      </c>
      <c r="J95" s="3">
        <f>SUM(H96:H105)</f>
        <v>11.565671199999999</v>
      </c>
      <c r="K95" s="25">
        <f>J95/(I95/1.18)</f>
        <v>0.28432275033333326</v>
      </c>
      <c r="L95" s="5">
        <v>223</v>
      </c>
      <c r="M95" s="3">
        <f>L95*(I95/1.18)</f>
        <v>9071.1864406779678</v>
      </c>
      <c r="N95" s="3">
        <f>L95*J95</f>
        <v>2579.1446775999998</v>
      </c>
      <c r="O95" s="4">
        <f>N95/M95</f>
        <v>0.28432275033333326</v>
      </c>
    </row>
    <row r="96" spans="1:15" ht="18" customHeight="1" x14ac:dyDescent="0.15">
      <c r="A96" t="s">
        <v>18</v>
      </c>
      <c r="B96" t="s">
        <v>18</v>
      </c>
      <c r="C96" s="6" t="s">
        <v>30</v>
      </c>
      <c r="D96" s="7" t="s">
        <v>31</v>
      </c>
      <c r="E96" s="8">
        <v>1</v>
      </c>
      <c r="F96" t="s">
        <v>32</v>
      </c>
      <c r="G96" s="9">
        <v>0.7</v>
      </c>
      <c r="H96" s="10">
        <v>0.7</v>
      </c>
      <c r="I96" t="s">
        <v>18</v>
      </c>
      <c r="J96" t="s">
        <v>18</v>
      </c>
      <c r="K96" s="26" t="s">
        <v>18</v>
      </c>
      <c r="L96" t="s">
        <v>18</v>
      </c>
      <c r="M96" t="s">
        <v>18</v>
      </c>
      <c r="N96" t="s">
        <v>18</v>
      </c>
      <c r="O96" t="s">
        <v>18</v>
      </c>
    </row>
    <row r="97" spans="1:15" ht="18" customHeight="1" x14ac:dyDescent="0.15">
      <c r="A97" t="s">
        <v>18</v>
      </c>
      <c r="B97" t="s">
        <v>18</v>
      </c>
      <c r="C97" s="6" t="s">
        <v>165</v>
      </c>
      <c r="D97" s="7" t="s">
        <v>35</v>
      </c>
      <c r="E97" s="8">
        <v>0.01</v>
      </c>
      <c r="F97" t="s">
        <v>36</v>
      </c>
      <c r="G97" s="9">
        <v>8.6</v>
      </c>
      <c r="H97" s="10">
        <v>8.5999999999999993E-2</v>
      </c>
      <c r="I97" t="s">
        <v>18</v>
      </c>
      <c r="J97" t="s">
        <v>18</v>
      </c>
      <c r="K97" s="26" t="s">
        <v>18</v>
      </c>
      <c r="L97" t="s">
        <v>18</v>
      </c>
      <c r="M97" t="s">
        <v>18</v>
      </c>
      <c r="N97" t="s">
        <v>18</v>
      </c>
      <c r="O97" t="s">
        <v>18</v>
      </c>
    </row>
    <row r="98" spans="1:15" ht="18" customHeight="1" x14ac:dyDescent="0.15">
      <c r="A98" t="s">
        <v>18</v>
      </c>
      <c r="B98" t="s">
        <v>18</v>
      </c>
      <c r="C98" s="6" t="s">
        <v>122</v>
      </c>
      <c r="D98" s="7" t="s">
        <v>35</v>
      </c>
      <c r="E98" s="8">
        <v>0.15</v>
      </c>
      <c r="F98" t="s">
        <v>36</v>
      </c>
      <c r="G98" s="9">
        <v>40.46</v>
      </c>
      <c r="H98" s="10">
        <f>G98*E98</f>
        <v>6.069</v>
      </c>
      <c r="I98" t="s">
        <v>18</v>
      </c>
      <c r="J98" t="s">
        <v>18</v>
      </c>
      <c r="K98" s="26" t="s">
        <v>18</v>
      </c>
      <c r="L98" t="s">
        <v>18</v>
      </c>
      <c r="M98" t="s">
        <v>18</v>
      </c>
      <c r="N98" t="s">
        <v>18</v>
      </c>
      <c r="O98" t="s">
        <v>18</v>
      </c>
    </row>
    <row r="99" spans="1:15" ht="18" customHeight="1" x14ac:dyDescent="0.15">
      <c r="A99" t="s">
        <v>18</v>
      </c>
      <c r="B99" t="s">
        <v>18</v>
      </c>
      <c r="C99" s="6" t="s">
        <v>186</v>
      </c>
      <c r="D99" s="7" t="s">
        <v>20</v>
      </c>
      <c r="E99" s="8">
        <v>0.04</v>
      </c>
      <c r="F99" t="s">
        <v>21</v>
      </c>
      <c r="G99" s="9">
        <v>26.079279999999997</v>
      </c>
      <c r="H99" s="10">
        <v>1.0431712</v>
      </c>
      <c r="I99" t="s">
        <v>18</v>
      </c>
      <c r="J99" t="s">
        <v>18</v>
      </c>
      <c r="K99" s="26" t="s">
        <v>18</v>
      </c>
      <c r="L99" t="s">
        <v>18</v>
      </c>
      <c r="M99" t="s">
        <v>18</v>
      </c>
      <c r="N99" t="s">
        <v>18</v>
      </c>
      <c r="O99" t="s">
        <v>18</v>
      </c>
    </row>
    <row r="100" spans="1:15" ht="18" customHeight="1" x14ac:dyDescent="0.15">
      <c r="A100" t="s">
        <v>18</v>
      </c>
      <c r="B100" t="s">
        <v>18</v>
      </c>
      <c r="C100" s="6" t="s">
        <v>143</v>
      </c>
      <c r="D100" s="7" t="s">
        <v>20</v>
      </c>
      <c r="E100" s="8">
        <v>0.02</v>
      </c>
      <c r="F100" t="s">
        <v>21</v>
      </c>
      <c r="G100" s="9">
        <v>5.5</v>
      </c>
      <c r="H100" s="10">
        <v>0.11</v>
      </c>
      <c r="I100" t="s">
        <v>18</v>
      </c>
      <c r="J100" t="s">
        <v>18</v>
      </c>
      <c r="K100" s="26" t="s">
        <v>18</v>
      </c>
      <c r="L100" t="s">
        <v>18</v>
      </c>
      <c r="M100" t="s">
        <v>18</v>
      </c>
      <c r="N100" t="s">
        <v>18</v>
      </c>
      <c r="O100" t="s">
        <v>18</v>
      </c>
    </row>
    <row r="101" spans="1:15" ht="18" customHeight="1" x14ac:dyDescent="0.15">
      <c r="A101" t="s">
        <v>18</v>
      </c>
      <c r="B101" t="s">
        <v>18</v>
      </c>
      <c r="C101" s="6" t="s">
        <v>124</v>
      </c>
      <c r="D101" s="7" t="s">
        <v>35</v>
      </c>
      <c r="E101" s="8">
        <v>0.02</v>
      </c>
      <c r="F101" t="s">
        <v>36</v>
      </c>
      <c r="G101" s="9">
        <v>8.3000000000000007</v>
      </c>
      <c r="H101" s="10">
        <v>0.16600000000000001</v>
      </c>
      <c r="I101" t="s">
        <v>18</v>
      </c>
      <c r="J101" t="s">
        <v>18</v>
      </c>
      <c r="K101" s="26" t="s">
        <v>18</v>
      </c>
      <c r="L101" t="s">
        <v>18</v>
      </c>
      <c r="M101" t="s">
        <v>18</v>
      </c>
      <c r="N101" t="s">
        <v>18</v>
      </c>
      <c r="O101" t="s">
        <v>18</v>
      </c>
    </row>
    <row r="102" spans="1:15" ht="18" customHeight="1" x14ac:dyDescent="0.15">
      <c r="A102" t="s">
        <v>18</v>
      </c>
      <c r="B102" t="s">
        <v>18</v>
      </c>
      <c r="C102" s="6" t="s">
        <v>126</v>
      </c>
      <c r="D102" s="7" t="s">
        <v>20</v>
      </c>
      <c r="E102" s="8">
        <v>0.04</v>
      </c>
      <c r="F102" t="s">
        <v>21</v>
      </c>
      <c r="G102" s="9">
        <v>10</v>
      </c>
      <c r="H102" s="10">
        <v>0.4</v>
      </c>
      <c r="I102" t="s">
        <v>18</v>
      </c>
      <c r="J102" t="s">
        <v>18</v>
      </c>
      <c r="K102" s="26" t="s">
        <v>18</v>
      </c>
      <c r="L102" t="s">
        <v>18</v>
      </c>
      <c r="M102" t="s">
        <v>18</v>
      </c>
      <c r="N102" t="s">
        <v>18</v>
      </c>
      <c r="O102" t="s">
        <v>18</v>
      </c>
    </row>
    <row r="103" spans="1:15" ht="18" customHeight="1" x14ac:dyDescent="0.15">
      <c r="A103" t="s">
        <v>18</v>
      </c>
      <c r="B103" t="s">
        <v>18</v>
      </c>
      <c r="C103" s="6" t="s">
        <v>142</v>
      </c>
      <c r="D103" s="7" t="s">
        <v>20</v>
      </c>
      <c r="E103" s="8">
        <v>0.02</v>
      </c>
      <c r="F103" t="s">
        <v>21</v>
      </c>
      <c r="G103" s="9">
        <v>14</v>
      </c>
      <c r="H103" s="10">
        <f>G103*E103</f>
        <v>0.28000000000000003</v>
      </c>
      <c r="I103" t="s">
        <v>18</v>
      </c>
      <c r="J103" t="s">
        <v>18</v>
      </c>
      <c r="K103" s="26" t="s">
        <v>18</v>
      </c>
      <c r="L103" t="s">
        <v>18</v>
      </c>
      <c r="M103" t="s">
        <v>18</v>
      </c>
      <c r="N103" t="s">
        <v>18</v>
      </c>
      <c r="O103" t="s">
        <v>18</v>
      </c>
    </row>
    <row r="104" spans="1:15" ht="18" customHeight="1" x14ac:dyDescent="0.15">
      <c r="A104" t="s">
        <v>18</v>
      </c>
      <c r="B104" t="s">
        <v>18</v>
      </c>
      <c r="C104" s="6" t="s">
        <v>123</v>
      </c>
      <c r="D104" s="7" t="s">
        <v>35</v>
      </c>
      <c r="E104" s="8">
        <v>0.03</v>
      </c>
      <c r="F104" t="s">
        <v>36</v>
      </c>
      <c r="G104" s="9">
        <v>12.05</v>
      </c>
      <c r="H104" s="10">
        <v>0.36149999999999999</v>
      </c>
      <c r="I104" t="s">
        <v>18</v>
      </c>
      <c r="J104" t="s">
        <v>18</v>
      </c>
      <c r="K104" s="26" t="s">
        <v>18</v>
      </c>
      <c r="L104" t="s">
        <v>18</v>
      </c>
      <c r="M104" t="s">
        <v>18</v>
      </c>
      <c r="N104" t="s">
        <v>18</v>
      </c>
      <c r="O104" t="s">
        <v>18</v>
      </c>
    </row>
    <row r="105" spans="1:15" ht="18" customHeight="1" x14ac:dyDescent="0.15">
      <c r="A105" t="s">
        <v>18</v>
      </c>
      <c r="B105" t="s">
        <v>18</v>
      </c>
      <c r="C105" s="6" t="s">
        <v>26</v>
      </c>
      <c r="D105" s="7" t="s">
        <v>20</v>
      </c>
      <c r="E105" s="8">
        <v>1</v>
      </c>
      <c r="F105" t="s">
        <v>27</v>
      </c>
      <c r="G105" s="9">
        <v>2.35</v>
      </c>
      <c r="H105" s="10">
        <v>2.35</v>
      </c>
      <c r="I105" t="s">
        <v>18</v>
      </c>
      <c r="J105" t="s">
        <v>18</v>
      </c>
      <c r="K105" s="26" t="s">
        <v>18</v>
      </c>
      <c r="L105" t="s">
        <v>18</v>
      </c>
      <c r="M105" t="s">
        <v>18</v>
      </c>
      <c r="N105" t="s">
        <v>18</v>
      </c>
      <c r="O105" t="s">
        <v>18</v>
      </c>
    </row>
    <row r="107" spans="1:15" ht="20" customHeight="1" x14ac:dyDescent="0.15">
      <c r="A107" s="2" t="s">
        <v>224</v>
      </c>
      <c r="B107" s="2" t="s">
        <v>209</v>
      </c>
      <c r="C107" s="2" t="s">
        <v>18</v>
      </c>
      <c r="D107" s="2" t="s">
        <v>18</v>
      </c>
      <c r="E107" s="2" t="s">
        <v>18</v>
      </c>
      <c r="F107" s="2" t="s">
        <v>18</v>
      </c>
      <c r="G107" s="2" t="s">
        <v>18</v>
      </c>
      <c r="H107" s="2" t="s">
        <v>18</v>
      </c>
      <c r="I107" s="3">
        <v>68</v>
      </c>
      <c r="J107" s="3">
        <f>SUM(H108:H119)</f>
        <v>23.917200000000001</v>
      </c>
      <c r="K107" s="25">
        <f>J107/(I107/1.18)</f>
        <v>0.41503376470588238</v>
      </c>
      <c r="L107" s="5">
        <v>101</v>
      </c>
      <c r="M107" s="3">
        <f>L107*(I107/1.18)</f>
        <v>5820.3389830508477</v>
      </c>
      <c r="N107" s="3">
        <f>L107*J107</f>
        <v>2415.6372000000001</v>
      </c>
      <c r="O107" s="4">
        <f>N107/M107</f>
        <v>0.41503376470588238</v>
      </c>
    </row>
    <row r="108" spans="1:15" ht="18" customHeight="1" x14ac:dyDescent="0.15">
      <c r="A108" t="s">
        <v>18</v>
      </c>
      <c r="B108" t="s">
        <v>18</v>
      </c>
      <c r="C108" s="6" t="s">
        <v>30</v>
      </c>
      <c r="D108" s="7" t="s">
        <v>31</v>
      </c>
      <c r="E108" s="8">
        <v>1</v>
      </c>
      <c r="F108" t="s">
        <v>32</v>
      </c>
      <c r="G108" s="9">
        <v>0.7</v>
      </c>
      <c r="H108" s="10">
        <v>0.7</v>
      </c>
      <c r="I108" t="s">
        <v>18</v>
      </c>
      <c r="J108" t="s">
        <v>18</v>
      </c>
      <c r="K108" s="26" t="s">
        <v>18</v>
      </c>
      <c r="L108" t="s">
        <v>18</v>
      </c>
      <c r="M108" t="s">
        <v>18</v>
      </c>
      <c r="N108" t="s">
        <v>18</v>
      </c>
      <c r="O108" t="s">
        <v>18</v>
      </c>
    </row>
    <row r="109" spans="1:15" ht="18" customHeight="1" x14ac:dyDescent="0.15">
      <c r="A109" t="s">
        <v>18</v>
      </c>
      <c r="B109" t="s">
        <v>18</v>
      </c>
      <c r="C109" s="6" t="s">
        <v>59</v>
      </c>
      <c r="D109" s="7" t="s">
        <v>20</v>
      </c>
      <c r="E109" s="8">
        <v>0.17</v>
      </c>
      <c r="F109" t="s">
        <v>21</v>
      </c>
      <c r="G109" s="9">
        <v>13.16</v>
      </c>
      <c r="H109" s="10">
        <v>2.2372000000000001</v>
      </c>
      <c r="I109" t="s">
        <v>18</v>
      </c>
      <c r="J109" t="s">
        <v>18</v>
      </c>
      <c r="K109" s="26" t="s">
        <v>18</v>
      </c>
      <c r="L109" t="s">
        <v>18</v>
      </c>
      <c r="M109" t="s">
        <v>18</v>
      </c>
      <c r="N109" t="s">
        <v>18</v>
      </c>
      <c r="O109" t="s">
        <v>18</v>
      </c>
    </row>
    <row r="110" spans="1:15" ht="18" customHeight="1" x14ac:dyDescent="0.15">
      <c r="A110" t="s">
        <v>18</v>
      </c>
      <c r="B110" t="s">
        <v>18</v>
      </c>
      <c r="C110" s="6" t="s">
        <v>165</v>
      </c>
      <c r="D110" s="7" t="s">
        <v>35</v>
      </c>
      <c r="E110" s="8">
        <v>0.1</v>
      </c>
      <c r="F110" t="s">
        <v>36</v>
      </c>
      <c r="G110" s="9">
        <v>8.6</v>
      </c>
      <c r="H110" s="10">
        <v>0.86</v>
      </c>
      <c r="I110" t="s">
        <v>18</v>
      </c>
      <c r="J110" t="s">
        <v>18</v>
      </c>
      <c r="K110" s="26" t="s">
        <v>18</v>
      </c>
      <c r="L110" t="s">
        <v>18</v>
      </c>
      <c r="M110" t="s">
        <v>18</v>
      </c>
      <c r="N110" t="s">
        <v>18</v>
      </c>
      <c r="O110" t="s">
        <v>18</v>
      </c>
    </row>
    <row r="111" spans="1:15" ht="18" customHeight="1" x14ac:dyDescent="0.15">
      <c r="A111" t="s">
        <v>18</v>
      </c>
      <c r="B111" t="s">
        <v>18</v>
      </c>
      <c r="C111" s="6" t="s">
        <v>48</v>
      </c>
      <c r="D111" s="7" t="s">
        <v>35</v>
      </c>
      <c r="E111" s="8">
        <v>0.1</v>
      </c>
      <c r="F111" t="s">
        <v>36</v>
      </c>
      <c r="G111" s="9">
        <v>30.22</v>
      </c>
      <c r="H111" s="10">
        <v>3.0220000000000002</v>
      </c>
      <c r="I111" t="s">
        <v>18</v>
      </c>
      <c r="J111" t="s">
        <v>18</v>
      </c>
      <c r="K111" s="26" t="s">
        <v>18</v>
      </c>
      <c r="L111" t="s">
        <v>18</v>
      </c>
      <c r="M111" t="s">
        <v>18</v>
      </c>
      <c r="N111" t="s">
        <v>18</v>
      </c>
      <c r="O111" t="s">
        <v>18</v>
      </c>
    </row>
    <row r="112" spans="1:15" ht="18" customHeight="1" x14ac:dyDescent="0.15">
      <c r="A112" t="s">
        <v>18</v>
      </c>
      <c r="B112" t="s">
        <v>18</v>
      </c>
      <c r="C112" s="6" t="s">
        <v>225</v>
      </c>
      <c r="D112" s="7" t="s">
        <v>20</v>
      </c>
      <c r="E112" s="8">
        <v>0.12</v>
      </c>
      <c r="F112" t="s">
        <v>21</v>
      </c>
      <c r="G112" s="9">
        <v>58</v>
      </c>
      <c r="H112" s="10">
        <f>G112*E112</f>
        <v>6.96</v>
      </c>
      <c r="I112" t="s">
        <v>18</v>
      </c>
      <c r="J112" t="s">
        <v>18</v>
      </c>
      <c r="K112" s="26" t="s">
        <v>18</v>
      </c>
      <c r="L112" t="s">
        <v>18</v>
      </c>
      <c r="M112" t="s">
        <v>18</v>
      </c>
      <c r="N112" t="s">
        <v>18</v>
      </c>
      <c r="O112" t="s">
        <v>18</v>
      </c>
    </row>
    <row r="113" spans="1:15" ht="18" customHeight="1" x14ac:dyDescent="0.15">
      <c r="A113" t="s">
        <v>18</v>
      </c>
      <c r="B113" t="s">
        <v>18</v>
      </c>
      <c r="C113" s="6" t="s">
        <v>122</v>
      </c>
      <c r="D113" s="7" t="s">
        <v>35</v>
      </c>
      <c r="E113" s="8">
        <v>0.15</v>
      </c>
      <c r="F113" t="s">
        <v>36</v>
      </c>
      <c r="G113" s="9">
        <v>40.46</v>
      </c>
      <c r="H113" s="10">
        <f>G113*E113</f>
        <v>6.069</v>
      </c>
      <c r="I113" t="s">
        <v>18</v>
      </c>
      <c r="J113" t="s">
        <v>18</v>
      </c>
      <c r="K113" s="26" t="s">
        <v>18</v>
      </c>
      <c r="L113" t="s">
        <v>18</v>
      </c>
      <c r="M113" t="s">
        <v>18</v>
      </c>
      <c r="N113" t="s">
        <v>18</v>
      </c>
      <c r="O113" t="s">
        <v>18</v>
      </c>
    </row>
    <row r="114" spans="1:15" ht="18" customHeight="1" x14ac:dyDescent="0.15">
      <c r="A114" t="s">
        <v>18</v>
      </c>
      <c r="B114" t="s">
        <v>18</v>
      </c>
      <c r="C114" s="6" t="s">
        <v>143</v>
      </c>
      <c r="D114" s="7" t="s">
        <v>20</v>
      </c>
      <c r="E114" s="8">
        <v>0.02</v>
      </c>
      <c r="F114" t="s">
        <v>21</v>
      </c>
      <c r="G114" s="9">
        <v>5.5</v>
      </c>
      <c r="H114" s="10">
        <v>0.11</v>
      </c>
      <c r="I114" t="s">
        <v>18</v>
      </c>
      <c r="J114" t="s">
        <v>18</v>
      </c>
      <c r="K114" s="26" t="s">
        <v>18</v>
      </c>
      <c r="L114" t="s">
        <v>18</v>
      </c>
      <c r="M114" t="s">
        <v>18</v>
      </c>
      <c r="N114" t="s">
        <v>18</v>
      </c>
      <c r="O114" t="s">
        <v>18</v>
      </c>
    </row>
    <row r="115" spans="1:15" ht="18" customHeight="1" x14ac:dyDescent="0.15">
      <c r="A115" t="s">
        <v>18</v>
      </c>
      <c r="B115" t="s">
        <v>18</v>
      </c>
      <c r="C115" s="6" t="s">
        <v>124</v>
      </c>
      <c r="D115" s="7" t="s">
        <v>35</v>
      </c>
      <c r="E115" s="8">
        <v>0.02</v>
      </c>
      <c r="F115" t="s">
        <v>36</v>
      </c>
      <c r="G115" s="9">
        <v>8.3000000000000007</v>
      </c>
      <c r="H115" s="10">
        <v>0.16600000000000001</v>
      </c>
      <c r="I115" t="s">
        <v>18</v>
      </c>
      <c r="J115" t="s">
        <v>18</v>
      </c>
      <c r="K115" s="26" t="s">
        <v>18</v>
      </c>
      <c r="L115" t="s">
        <v>18</v>
      </c>
      <c r="M115" t="s">
        <v>18</v>
      </c>
      <c r="N115" t="s">
        <v>18</v>
      </c>
      <c r="O115" t="s">
        <v>18</v>
      </c>
    </row>
    <row r="116" spans="1:15" ht="18" customHeight="1" x14ac:dyDescent="0.15">
      <c r="A116" t="s">
        <v>18</v>
      </c>
      <c r="B116" t="s">
        <v>18</v>
      </c>
      <c r="C116" s="6" t="s">
        <v>126</v>
      </c>
      <c r="D116" s="7" t="s">
        <v>20</v>
      </c>
      <c r="E116" s="8">
        <v>0.04</v>
      </c>
      <c r="F116" t="s">
        <v>21</v>
      </c>
      <c r="G116" s="9">
        <v>10</v>
      </c>
      <c r="H116" s="10">
        <v>0.44000000000000006</v>
      </c>
      <c r="I116" t="s">
        <v>18</v>
      </c>
      <c r="J116" t="s">
        <v>18</v>
      </c>
      <c r="K116" s="26" t="s">
        <v>18</v>
      </c>
      <c r="L116" t="s">
        <v>18</v>
      </c>
      <c r="M116" t="s">
        <v>18</v>
      </c>
      <c r="N116" t="s">
        <v>18</v>
      </c>
      <c r="O116" t="s">
        <v>18</v>
      </c>
    </row>
    <row r="117" spans="1:15" ht="18" customHeight="1" x14ac:dyDescent="0.15">
      <c r="A117" t="s">
        <v>18</v>
      </c>
      <c r="B117" t="s">
        <v>18</v>
      </c>
      <c r="C117" s="6" t="s">
        <v>125</v>
      </c>
      <c r="D117" s="7" t="s">
        <v>20</v>
      </c>
      <c r="E117" s="8">
        <v>0.02</v>
      </c>
      <c r="F117" t="s">
        <v>21</v>
      </c>
      <c r="G117" s="9">
        <v>14</v>
      </c>
      <c r="H117" s="10">
        <f>G117*E117</f>
        <v>0.28000000000000003</v>
      </c>
      <c r="I117" t="s">
        <v>18</v>
      </c>
      <c r="J117" t="s">
        <v>18</v>
      </c>
      <c r="K117" s="26" t="s">
        <v>18</v>
      </c>
      <c r="L117" t="s">
        <v>18</v>
      </c>
      <c r="M117" t="s">
        <v>18</v>
      </c>
      <c r="N117" t="s">
        <v>18</v>
      </c>
      <c r="O117" t="s">
        <v>18</v>
      </c>
    </row>
    <row r="118" spans="1:15" ht="18" customHeight="1" x14ac:dyDescent="0.15">
      <c r="A118" t="s">
        <v>18</v>
      </c>
      <c r="B118" t="s">
        <v>18</v>
      </c>
      <c r="C118" s="6" t="s">
        <v>123</v>
      </c>
      <c r="D118" s="7" t="s">
        <v>35</v>
      </c>
      <c r="E118" s="8">
        <v>0.06</v>
      </c>
      <c r="F118" t="s">
        <v>36</v>
      </c>
      <c r="G118" s="9">
        <v>12.05</v>
      </c>
      <c r="H118" s="10">
        <v>0.72299999999999998</v>
      </c>
      <c r="I118" t="s">
        <v>18</v>
      </c>
      <c r="J118" t="s">
        <v>18</v>
      </c>
      <c r="K118" s="26" t="s">
        <v>18</v>
      </c>
      <c r="L118" t="s">
        <v>18</v>
      </c>
      <c r="M118" t="s">
        <v>18</v>
      </c>
      <c r="N118" t="s">
        <v>18</v>
      </c>
      <c r="O118" t="s">
        <v>18</v>
      </c>
    </row>
    <row r="119" spans="1:15" ht="18" customHeight="1" x14ac:dyDescent="0.15">
      <c r="A119" t="s">
        <v>18</v>
      </c>
      <c r="B119" t="s">
        <v>18</v>
      </c>
      <c r="C119" s="6" t="s">
        <v>26</v>
      </c>
      <c r="D119" s="7" t="s">
        <v>20</v>
      </c>
      <c r="E119" s="8">
        <v>1</v>
      </c>
      <c r="F119" t="s">
        <v>27</v>
      </c>
      <c r="G119" s="9">
        <v>2.35</v>
      </c>
      <c r="H119" s="10">
        <v>2.35</v>
      </c>
      <c r="I119" t="s">
        <v>18</v>
      </c>
      <c r="J119" t="s">
        <v>18</v>
      </c>
      <c r="K119" s="26" t="s">
        <v>18</v>
      </c>
      <c r="L119" t="s">
        <v>18</v>
      </c>
      <c r="M119" t="s">
        <v>18</v>
      </c>
      <c r="N119" t="s">
        <v>18</v>
      </c>
      <c r="O119" t="s">
        <v>18</v>
      </c>
    </row>
    <row r="121" spans="1:15" ht="20" customHeight="1" x14ac:dyDescent="0.15">
      <c r="A121" s="2" t="s">
        <v>226</v>
      </c>
      <c r="B121" s="2" t="s">
        <v>209</v>
      </c>
      <c r="C121" s="2" t="s">
        <v>18</v>
      </c>
      <c r="D121" s="2" t="s">
        <v>18</v>
      </c>
      <c r="E121" s="2" t="s">
        <v>18</v>
      </c>
      <c r="F121" s="2" t="s">
        <v>18</v>
      </c>
      <c r="G121" s="2" t="s">
        <v>18</v>
      </c>
      <c r="H121" s="2" t="s">
        <v>18</v>
      </c>
      <c r="I121" s="3">
        <v>52</v>
      </c>
      <c r="J121" s="3">
        <f>SUM(H122:H127)</f>
        <v>13.907</v>
      </c>
      <c r="K121" s="25">
        <f>J121/(I121/1.18)</f>
        <v>0.31558192307692307</v>
      </c>
      <c r="L121" s="5">
        <f>42+326</f>
        <v>368</v>
      </c>
      <c r="M121" s="3">
        <f>L121*(I121/1.18)</f>
        <v>16216.949152542375</v>
      </c>
      <c r="N121" s="3">
        <f>L121*J121</f>
        <v>5117.7759999999998</v>
      </c>
      <c r="O121" s="4">
        <f>N121/M121</f>
        <v>0.31558192307692301</v>
      </c>
    </row>
    <row r="122" spans="1:15" ht="18" customHeight="1" x14ac:dyDescent="0.15">
      <c r="A122" t="s">
        <v>18</v>
      </c>
      <c r="B122" t="s">
        <v>18</v>
      </c>
      <c r="C122" s="6" t="s">
        <v>198</v>
      </c>
      <c r="D122" s="7" t="s">
        <v>35</v>
      </c>
      <c r="E122" s="8">
        <v>0.02</v>
      </c>
      <c r="F122" t="s">
        <v>36</v>
      </c>
      <c r="G122" s="9">
        <v>9.74</v>
      </c>
      <c r="H122" s="10">
        <v>0.1948</v>
      </c>
      <c r="I122" t="s">
        <v>18</v>
      </c>
      <c r="J122" t="s">
        <v>18</v>
      </c>
      <c r="K122" s="26" t="s">
        <v>18</v>
      </c>
      <c r="L122" t="s">
        <v>18</v>
      </c>
      <c r="M122" t="s">
        <v>18</v>
      </c>
      <c r="N122" t="s">
        <v>18</v>
      </c>
      <c r="O122" t="s">
        <v>18</v>
      </c>
    </row>
    <row r="123" spans="1:15" ht="18" customHeight="1" x14ac:dyDescent="0.15">
      <c r="A123" t="s">
        <v>18</v>
      </c>
      <c r="B123" t="s">
        <v>18</v>
      </c>
      <c r="C123" s="6" t="s">
        <v>123</v>
      </c>
      <c r="D123" s="7" t="s">
        <v>35</v>
      </c>
      <c r="E123" s="8">
        <v>0.02</v>
      </c>
      <c r="F123" t="s">
        <v>36</v>
      </c>
      <c r="G123" s="9">
        <v>12.05</v>
      </c>
      <c r="H123" s="10">
        <v>0.24100000000000002</v>
      </c>
      <c r="I123" t="s">
        <v>18</v>
      </c>
      <c r="J123" t="s">
        <v>18</v>
      </c>
      <c r="K123" s="26" t="s">
        <v>18</v>
      </c>
      <c r="L123" t="s">
        <v>18</v>
      </c>
      <c r="M123" t="s">
        <v>18</v>
      </c>
      <c r="N123" t="s">
        <v>18</v>
      </c>
      <c r="O123" t="s">
        <v>18</v>
      </c>
    </row>
    <row r="124" spans="1:15" ht="18" customHeight="1" x14ac:dyDescent="0.15">
      <c r="A124" t="s">
        <v>18</v>
      </c>
      <c r="B124" t="s">
        <v>18</v>
      </c>
      <c r="C124" s="6" t="s">
        <v>122</v>
      </c>
      <c r="D124" s="7" t="s">
        <v>35</v>
      </c>
      <c r="E124" s="8">
        <v>0.22</v>
      </c>
      <c r="F124" t="s">
        <v>36</v>
      </c>
      <c r="G124" s="9">
        <v>40.46</v>
      </c>
      <c r="H124" s="10">
        <f>G124*E124</f>
        <v>8.9012000000000011</v>
      </c>
      <c r="I124" t="s">
        <v>18</v>
      </c>
      <c r="J124" t="s">
        <v>18</v>
      </c>
      <c r="K124" s="26" t="s">
        <v>18</v>
      </c>
      <c r="L124" t="s">
        <v>18</v>
      </c>
      <c r="M124" t="s">
        <v>18</v>
      </c>
      <c r="N124" t="s">
        <v>18</v>
      </c>
      <c r="O124" t="s">
        <v>18</v>
      </c>
    </row>
    <row r="125" spans="1:15" ht="18" customHeight="1" x14ac:dyDescent="0.15">
      <c r="A125" t="s">
        <v>18</v>
      </c>
      <c r="B125" t="s">
        <v>18</v>
      </c>
      <c r="C125" s="6" t="s">
        <v>140</v>
      </c>
      <c r="D125" s="7" t="s">
        <v>20</v>
      </c>
      <c r="E125" s="8">
        <v>0.03</v>
      </c>
      <c r="F125" t="s">
        <v>21</v>
      </c>
      <c r="G125" s="9">
        <v>29</v>
      </c>
      <c r="H125" s="10">
        <v>0.87</v>
      </c>
      <c r="I125" t="s">
        <v>18</v>
      </c>
      <c r="J125" t="s">
        <v>18</v>
      </c>
      <c r="K125" s="26" t="s">
        <v>18</v>
      </c>
      <c r="L125" t="s">
        <v>18</v>
      </c>
      <c r="M125" t="s">
        <v>18</v>
      </c>
      <c r="N125" t="s">
        <v>18</v>
      </c>
      <c r="O125" t="s">
        <v>18</v>
      </c>
    </row>
    <row r="126" spans="1:15" ht="18" customHeight="1" x14ac:dyDescent="0.15">
      <c r="A126" t="s">
        <v>18</v>
      </c>
      <c r="B126" t="s">
        <v>18</v>
      </c>
      <c r="C126" s="6" t="s">
        <v>184</v>
      </c>
      <c r="D126" s="7" t="s">
        <v>20</v>
      </c>
      <c r="E126" s="8">
        <v>0.03</v>
      </c>
      <c r="F126" t="s">
        <v>21</v>
      </c>
      <c r="G126" s="9">
        <v>45</v>
      </c>
      <c r="H126" s="10">
        <v>1.3499999999999999</v>
      </c>
      <c r="I126" t="s">
        <v>18</v>
      </c>
      <c r="J126" t="s">
        <v>18</v>
      </c>
      <c r="K126" s="26" t="s">
        <v>18</v>
      </c>
      <c r="L126" t="s">
        <v>18</v>
      </c>
      <c r="M126" t="s">
        <v>18</v>
      </c>
      <c r="N126" t="s">
        <v>18</v>
      </c>
      <c r="O126" t="s">
        <v>18</v>
      </c>
    </row>
    <row r="127" spans="1:15" ht="18" customHeight="1" x14ac:dyDescent="0.15">
      <c r="A127" t="s">
        <v>18</v>
      </c>
      <c r="B127" t="s">
        <v>18</v>
      </c>
      <c r="C127" s="6" t="s">
        <v>26</v>
      </c>
      <c r="D127" s="7" t="s">
        <v>20</v>
      </c>
      <c r="E127" s="8">
        <v>1</v>
      </c>
      <c r="F127" t="s">
        <v>27</v>
      </c>
      <c r="G127" s="9">
        <v>2.35</v>
      </c>
      <c r="H127" s="10">
        <v>2.35</v>
      </c>
      <c r="I127" t="s">
        <v>18</v>
      </c>
      <c r="J127" t="s">
        <v>18</v>
      </c>
      <c r="K127" s="26" t="s">
        <v>18</v>
      </c>
      <c r="L127" t="s">
        <v>18</v>
      </c>
      <c r="M127" t="s">
        <v>18</v>
      </c>
      <c r="N127" t="s">
        <v>18</v>
      </c>
      <c r="O127" t="s">
        <v>18</v>
      </c>
    </row>
    <row r="129" spans="1:15" ht="20" customHeight="1" x14ac:dyDescent="0.15">
      <c r="A129" s="2" t="s">
        <v>227</v>
      </c>
      <c r="B129" s="2" t="s">
        <v>209</v>
      </c>
      <c r="C129" s="2" t="s">
        <v>18</v>
      </c>
      <c r="D129" s="2" t="s">
        <v>18</v>
      </c>
      <c r="E129" s="2" t="s">
        <v>18</v>
      </c>
      <c r="F129" s="2" t="s">
        <v>18</v>
      </c>
      <c r="G129" s="2" t="s">
        <v>18</v>
      </c>
      <c r="H129" s="2" t="s">
        <v>18</v>
      </c>
      <c r="I129" s="3">
        <v>49</v>
      </c>
      <c r="J129" s="3">
        <f>SUM(H130:H138)</f>
        <v>12.513999999999998</v>
      </c>
      <c r="K129" s="25">
        <f>J129/(I129/1.18)</f>
        <v>0.30135755102040807</v>
      </c>
      <c r="L129" s="5">
        <v>21</v>
      </c>
      <c r="M129" s="3">
        <f>L129*(I129/1.18)</f>
        <v>872.0338983050849</v>
      </c>
      <c r="N129" s="3">
        <f>L129*J129</f>
        <v>262.79399999999993</v>
      </c>
      <c r="O129" s="4">
        <f>N129/M129</f>
        <v>0.30135755102040801</v>
      </c>
    </row>
    <row r="130" spans="1:15" ht="18" customHeight="1" x14ac:dyDescent="0.15">
      <c r="A130" t="s">
        <v>18</v>
      </c>
      <c r="B130" t="s">
        <v>18</v>
      </c>
      <c r="C130" s="6" t="s">
        <v>30</v>
      </c>
      <c r="D130" s="7" t="s">
        <v>31</v>
      </c>
      <c r="E130" s="8">
        <v>1</v>
      </c>
      <c r="F130" t="s">
        <v>32</v>
      </c>
      <c r="G130" s="9">
        <v>0.7</v>
      </c>
      <c r="H130" s="10">
        <v>0.7</v>
      </c>
      <c r="I130" t="s">
        <v>18</v>
      </c>
      <c r="J130" t="s">
        <v>18</v>
      </c>
      <c r="K130" s="26" t="s">
        <v>18</v>
      </c>
      <c r="L130" t="s">
        <v>18</v>
      </c>
      <c r="M130" t="s">
        <v>18</v>
      </c>
      <c r="N130" t="s">
        <v>18</v>
      </c>
      <c r="O130" t="s">
        <v>18</v>
      </c>
    </row>
    <row r="131" spans="1:15" ht="18" customHeight="1" x14ac:dyDescent="0.15">
      <c r="A131" t="s">
        <v>18</v>
      </c>
      <c r="B131" t="s">
        <v>18</v>
      </c>
      <c r="C131" s="6" t="s">
        <v>175</v>
      </c>
      <c r="D131" s="7" t="s">
        <v>35</v>
      </c>
      <c r="E131" s="8">
        <v>0.1</v>
      </c>
      <c r="F131" t="s">
        <v>36</v>
      </c>
      <c r="G131" s="9">
        <v>21.58</v>
      </c>
      <c r="H131" s="10">
        <v>2.1579999999999999</v>
      </c>
      <c r="I131" t="s">
        <v>18</v>
      </c>
      <c r="J131" t="s">
        <v>18</v>
      </c>
      <c r="K131" s="26" t="s">
        <v>18</v>
      </c>
      <c r="L131" t="s">
        <v>18</v>
      </c>
      <c r="M131" t="s">
        <v>18</v>
      </c>
      <c r="N131" t="s">
        <v>18</v>
      </c>
      <c r="O131" t="s">
        <v>18</v>
      </c>
    </row>
    <row r="132" spans="1:15" ht="18" customHeight="1" x14ac:dyDescent="0.15">
      <c r="A132" t="s">
        <v>18</v>
      </c>
      <c r="B132" t="s">
        <v>18</v>
      </c>
      <c r="C132" s="6" t="s">
        <v>122</v>
      </c>
      <c r="D132" s="7" t="s">
        <v>35</v>
      </c>
      <c r="E132" s="8">
        <v>0.15</v>
      </c>
      <c r="F132" t="s">
        <v>36</v>
      </c>
      <c r="G132" s="9">
        <v>40.46</v>
      </c>
      <c r="H132" s="10">
        <f>G132*E132</f>
        <v>6.069</v>
      </c>
      <c r="I132" t="s">
        <v>18</v>
      </c>
      <c r="J132" t="s">
        <v>18</v>
      </c>
      <c r="K132" s="26" t="s">
        <v>18</v>
      </c>
      <c r="L132" t="s">
        <v>18</v>
      </c>
      <c r="M132" t="s">
        <v>18</v>
      </c>
      <c r="N132" t="s">
        <v>18</v>
      </c>
      <c r="O132" t="s">
        <v>18</v>
      </c>
    </row>
    <row r="133" spans="1:15" ht="18" customHeight="1" x14ac:dyDescent="0.15">
      <c r="A133" t="s">
        <v>18</v>
      </c>
      <c r="B133" t="s">
        <v>18</v>
      </c>
      <c r="C133" s="6" t="s">
        <v>143</v>
      </c>
      <c r="D133" s="7" t="s">
        <v>20</v>
      </c>
      <c r="E133" s="8">
        <v>0.02</v>
      </c>
      <c r="F133" t="s">
        <v>21</v>
      </c>
      <c r="G133" s="9">
        <v>5.5</v>
      </c>
      <c r="H133" s="10">
        <v>0.11</v>
      </c>
      <c r="I133" t="s">
        <v>18</v>
      </c>
      <c r="J133" t="s">
        <v>18</v>
      </c>
      <c r="K133" s="26" t="s">
        <v>18</v>
      </c>
      <c r="L133" t="s">
        <v>18</v>
      </c>
      <c r="M133" t="s">
        <v>18</v>
      </c>
      <c r="N133" t="s">
        <v>18</v>
      </c>
      <c r="O133" t="s">
        <v>18</v>
      </c>
    </row>
    <row r="134" spans="1:15" ht="18" customHeight="1" x14ac:dyDescent="0.15">
      <c r="A134" t="s">
        <v>18</v>
      </c>
      <c r="B134" t="s">
        <v>18</v>
      </c>
      <c r="C134" s="6" t="s">
        <v>124</v>
      </c>
      <c r="D134" s="7" t="s">
        <v>35</v>
      </c>
      <c r="E134" s="8">
        <v>0.02</v>
      </c>
      <c r="F134" t="s">
        <v>36</v>
      </c>
      <c r="G134" s="9">
        <v>8.3000000000000007</v>
      </c>
      <c r="H134" s="10">
        <v>0.16600000000000001</v>
      </c>
      <c r="I134" t="s">
        <v>18</v>
      </c>
      <c r="J134" t="s">
        <v>18</v>
      </c>
      <c r="K134" s="26" t="s">
        <v>18</v>
      </c>
      <c r="L134" t="s">
        <v>18</v>
      </c>
      <c r="M134" t="s">
        <v>18</v>
      </c>
      <c r="N134" t="s">
        <v>18</v>
      </c>
      <c r="O134" t="s">
        <v>18</v>
      </c>
    </row>
    <row r="135" spans="1:15" ht="18" customHeight="1" x14ac:dyDescent="0.15">
      <c r="A135" t="s">
        <v>18</v>
      </c>
      <c r="B135" t="s">
        <v>18</v>
      </c>
      <c r="C135" s="6" t="s">
        <v>126</v>
      </c>
      <c r="D135" s="7" t="s">
        <v>20</v>
      </c>
      <c r="E135" s="8">
        <v>0.04</v>
      </c>
      <c r="F135" t="s">
        <v>21</v>
      </c>
      <c r="G135" s="9">
        <v>10</v>
      </c>
      <c r="H135" s="10">
        <v>0.44000000000000006</v>
      </c>
      <c r="I135" t="s">
        <v>18</v>
      </c>
      <c r="J135" t="s">
        <v>18</v>
      </c>
      <c r="K135" s="26" t="s">
        <v>18</v>
      </c>
      <c r="L135" t="s">
        <v>18</v>
      </c>
      <c r="M135" t="s">
        <v>18</v>
      </c>
      <c r="N135" t="s">
        <v>18</v>
      </c>
      <c r="O135" t="s">
        <v>18</v>
      </c>
    </row>
    <row r="136" spans="1:15" ht="18" customHeight="1" x14ac:dyDescent="0.15">
      <c r="A136" t="s">
        <v>18</v>
      </c>
      <c r="B136" t="s">
        <v>18</v>
      </c>
      <c r="C136" s="6" t="s">
        <v>142</v>
      </c>
      <c r="D136" s="7" t="s">
        <v>20</v>
      </c>
      <c r="E136" s="8">
        <v>0.02</v>
      </c>
      <c r="F136" t="s">
        <v>21</v>
      </c>
      <c r="G136" s="9">
        <v>14</v>
      </c>
      <c r="H136" s="10">
        <f>G136*E136</f>
        <v>0.28000000000000003</v>
      </c>
      <c r="I136" t="s">
        <v>18</v>
      </c>
      <c r="J136" t="s">
        <v>18</v>
      </c>
      <c r="K136" s="26" t="s">
        <v>18</v>
      </c>
      <c r="L136" t="s">
        <v>18</v>
      </c>
      <c r="M136" t="s">
        <v>18</v>
      </c>
      <c r="N136" t="s">
        <v>18</v>
      </c>
      <c r="O136" t="s">
        <v>18</v>
      </c>
    </row>
    <row r="137" spans="1:15" ht="18" customHeight="1" x14ac:dyDescent="0.15">
      <c r="A137" t="s">
        <v>18</v>
      </c>
      <c r="B137" t="s">
        <v>18</v>
      </c>
      <c r="C137" s="6" t="s">
        <v>123</v>
      </c>
      <c r="D137" s="7" t="s">
        <v>35</v>
      </c>
      <c r="E137" s="8">
        <v>0.02</v>
      </c>
      <c r="F137" t="s">
        <v>36</v>
      </c>
      <c r="G137" s="9">
        <v>12.05</v>
      </c>
      <c r="H137" s="10">
        <v>0.24100000000000002</v>
      </c>
      <c r="I137" t="s">
        <v>18</v>
      </c>
      <c r="J137" t="s">
        <v>18</v>
      </c>
      <c r="K137" s="26" t="s">
        <v>18</v>
      </c>
      <c r="L137" t="s">
        <v>18</v>
      </c>
      <c r="M137" t="s">
        <v>18</v>
      </c>
      <c r="N137" t="s">
        <v>18</v>
      </c>
      <c r="O137" t="s">
        <v>18</v>
      </c>
    </row>
    <row r="138" spans="1:15" ht="18" customHeight="1" x14ac:dyDescent="0.15">
      <c r="A138" t="s">
        <v>18</v>
      </c>
      <c r="B138" t="s">
        <v>18</v>
      </c>
      <c r="C138" s="6" t="s">
        <v>26</v>
      </c>
      <c r="D138" s="7" t="s">
        <v>20</v>
      </c>
      <c r="E138" s="8">
        <v>1</v>
      </c>
      <c r="F138" t="s">
        <v>27</v>
      </c>
      <c r="G138" s="9">
        <v>2.35</v>
      </c>
      <c r="H138" s="10">
        <v>2.35</v>
      </c>
      <c r="I138" t="s">
        <v>18</v>
      </c>
      <c r="J138" t="s">
        <v>18</v>
      </c>
      <c r="K138" s="26" t="s">
        <v>18</v>
      </c>
      <c r="L138" t="s">
        <v>18</v>
      </c>
      <c r="M138" t="s">
        <v>18</v>
      </c>
      <c r="N138" t="s">
        <v>18</v>
      </c>
      <c r="O138" t="s">
        <v>18</v>
      </c>
    </row>
    <row r="140" spans="1:15" ht="20" customHeight="1" x14ac:dyDescent="0.15">
      <c r="A140" s="2" t="s">
        <v>228</v>
      </c>
      <c r="B140" s="2" t="s">
        <v>209</v>
      </c>
      <c r="C140" s="2" t="s">
        <v>18</v>
      </c>
      <c r="D140" s="2" t="s">
        <v>18</v>
      </c>
      <c r="E140" s="2" t="s">
        <v>18</v>
      </c>
      <c r="F140" s="2" t="s">
        <v>18</v>
      </c>
      <c r="G140" s="2" t="s">
        <v>18</v>
      </c>
      <c r="H140" s="2" t="s">
        <v>18</v>
      </c>
      <c r="I140" s="3">
        <v>40</v>
      </c>
      <c r="J140" s="3">
        <f>SUM(H141:H152)</f>
        <v>9.3954000000000022</v>
      </c>
      <c r="K140" s="25">
        <f>J140/(I140/1.18)</f>
        <v>0.27716430000000003</v>
      </c>
      <c r="L140" s="5">
        <v>823</v>
      </c>
      <c r="M140" s="3">
        <f>L140*(I140/1.18)</f>
        <v>27898.305084745763</v>
      </c>
      <c r="N140" s="3">
        <f>L140*J140</f>
        <v>7732.414200000002</v>
      </c>
      <c r="O140" s="4">
        <f>N140/M140</f>
        <v>0.27716430000000009</v>
      </c>
    </row>
    <row r="141" spans="1:15" ht="18" customHeight="1" x14ac:dyDescent="0.15">
      <c r="A141" t="s">
        <v>18</v>
      </c>
      <c r="B141" t="s">
        <v>18</v>
      </c>
      <c r="C141" s="6" t="s">
        <v>30</v>
      </c>
      <c r="D141" s="7" t="s">
        <v>31</v>
      </c>
      <c r="E141" s="8">
        <v>1</v>
      </c>
      <c r="F141" t="s">
        <v>32</v>
      </c>
      <c r="G141" s="9">
        <v>0.7</v>
      </c>
      <c r="H141" s="10">
        <v>0.7</v>
      </c>
      <c r="I141" t="s">
        <v>18</v>
      </c>
      <c r="J141" t="s">
        <v>18</v>
      </c>
      <c r="K141" s="26" t="s">
        <v>18</v>
      </c>
      <c r="L141" t="s">
        <v>18</v>
      </c>
      <c r="M141" t="s">
        <v>18</v>
      </c>
      <c r="N141" t="s">
        <v>18</v>
      </c>
      <c r="O141" t="s">
        <v>18</v>
      </c>
    </row>
    <row r="142" spans="1:15" ht="18" customHeight="1" x14ac:dyDescent="0.15">
      <c r="A142" t="s">
        <v>18</v>
      </c>
      <c r="B142" t="s">
        <v>18</v>
      </c>
      <c r="C142" s="6" t="s">
        <v>37</v>
      </c>
      <c r="D142" s="7" t="s">
        <v>35</v>
      </c>
      <c r="E142" s="8">
        <v>0.01</v>
      </c>
      <c r="F142" t="s">
        <v>36</v>
      </c>
      <c r="G142" s="9">
        <v>10.63</v>
      </c>
      <c r="H142" s="10">
        <v>0.10630000000000001</v>
      </c>
      <c r="I142" t="s">
        <v>18</v>
      </c>
      <c r="J142" t="s">
        <v>18</v>
      </c>
      <c r="K142" s="26" t="s">
        <v>18</v>
      </c>
      <c r="L142" t="s">
        <v>18</v>
      </c>
      <c r="M142" t="s">
        <v>18</v>
      </c>
      <c r="N142" t="s">
        <v>18</v>
      </c>
      <c r="O142" t="s">
        <v>18</v>
      </c>
    </row>
    <row r="143" spans="1:15" ht="18" customHeight="1" x14ac:dyDescent="0.15">
      <c r="A143" t="s">
        <v>18</v>
      </c>
      <c r="B143" t="s">
        <v>18</v>
      </c>
      <c r="C143" s="6" t="s">
        <v>62</v>
      </c>
      <c r="D143" s="7" t="s">
        <v>35</v>
      </c>
      <c r="E143" s="8">
        <v>0.02</v>
      </c>
      <c r="F143" t="s">
        <v>36</v>
      </c>
      <c r="G143" s="9">
        <v>13.24</v>
      </c>
      <c r="H143" s="10">
        <v>0.26480000000000004</v>
      </c>
      <c r="I143" t="s">
        <v>18</v>
      </c>
      <c r="J143" t="s">
        <v>18</v>
      </c>
      <c r="K143" s="26" t="s">
        <v>18</v>
      </c>
      <c r="L143" t="s">
        <v>18</v>
      </c>
      <c r="M143" t="s">
        <v>18</v>
      </c>
      <c r="N143" t="s">
        <v>18</v>
      </c>
      <c r="O143" t="s">
        <v>18</v>
      </c>
    </row>
    <row r="144" spans="1:15" ht="18" customHeight="1" x14ac:dyDescent="0.15">
      <c r="A144" t="s">
        <v>18</v>
      </c>
      <c r="B144" t="s">
        <v>18</v>
      </c>
      <c r="C144" s="6" t="s">
        <v>42</v>
      </c>
      <c r="D144" s="7" t="s">
        <v>20</v>
      </c>
      <c r="E144" s="8">
        <v>0.02</v>
      </c>
      <c r="F144" t="s">
        <v>21</v>
      </c>
      <c r="G144" s="9">
        <v>10.5</v>
      </c>
      <c r="H144" s="10">
        <v>0.21</v>
      </c>
      <c r="I144" t="s">
        <v>18</v>
      </c>
      <c r="J144" t="s">
        <v>18</v>
      </c>
      <c r="K144" s="26" t="s">
        <v>18</v>
      </c>
      <c r="L144" t="s">
        <v>18</v>
      </c>
      <c r="M144" t="s">
        <v>18</v>
      </c>
      <c r="N144" t="s">
        <v>18</v>
      </c>
      <c r="O144" t="s">
        <v>18</v>
      </c>
    </row>
    <row r="145" spans="1:15" ht="18" customHeight="1" x14ac:dyDescent="0.15">
      <c r="A145" t="s">
        <v>18</v>
      </c>
      <c r="B145" t="s">
        <v>18</v>
      </c>
      <c r="C145" s="6" t="s">
        <v>34</v>
      </c>
      <c r="D145" s="7" t="s">
        <v>35</v>
      </c>
      <c r="E145" s="8">
        <v>0.03</v>
      </c>
      <c r="F145" t="s">
        <v>36</v>
      </c>
      <c r="G145" s="9">
        <v>12.96</v>
      </c>
      <c r="H145" s="10">
        <v>0.38880000000000003</v>
      </c>
      <c r="I145" t="s">
        <v>18</v>
      </c>
      <c r="J145" t="s">
        <v>18</v>
      </c>
      <c r="K145" s="26" t="s">
        <v>18</v>
      </c>
      <c r="L145" t="s">
        <v>18</v>
      </c>
      <c r="M145" t="s">
        <v>18</v>
      </c>
      <c r="N145" t="s">
        <v>18</v>
      </c>
      <c r="O145" t="s">
        <v>18</v>
      </c>
    </row>
    <row r="146" spans="1:15" ht="18" customHeight="1" x14ac:dyDescent="0.15">
      <c r="A146" t="s">
        <v>18</v>
      </c>
      <c r="B146" t="s">
        <v>18</v>
      </c>
      <c r="C146" s="6" t="s">
        <v>229</v>
      </c>
      <c r="D146" s="7" t="s">
        <v>20</v>
      </c>
      <c r="E146" s="8">
        <v>0.16</v>
      </c>
      <c r="F146" t="s">
        <v>21</v>
      </c>
      <c r="G146" s="9">
        <v>26</v>
      </c>
      <c r="H146" s="10">
        <v>4.16</v>
      </c>
      <c r="J146" t="s">
        <v>18</v>
      </c>
      <c r="K146" s="26" t="s">
        <v>18</v>
      </c>
      <c r="L146" t="s">
        <v>18</v>
      </c>
      <c r="M146" t="s">
        <v>18</v>
      </c>
      <c r="N146" t="s">
        <v>18</v>
      </c>
      <c r="O146" t="s">
        <v>18</v>
      </c>
    </row>
    <row r="147" spans="1:15" ht="18" customHeight="1" x14ac:dyDescent="0.15">
      <c r="A147" t="s">
        <v>18</v>
      </c>
      <c r="B147" t="s">
        <v>18</v>
      </c>
      <c r="C147" s="6" t="s">
        <v>124</v>
      </c>
      <c r="D147" s="7" t="s">
        <v>35</v>
      </c>
      <c r="E147" s="8">
        <v>0.02</v>
      </c>
      <c r="F147" t="s">
        <v>36</v>
      </c>
      <c r="G147" s="9">
        <v>8.3000000000000007</v>
      </c>
      <c r="H147" s="10">
        <v>0.16600000000000001</v>
      </c>
      <c r="I147" t="s">
        <v>18</v>
      </c>
      <c r="J147" t="s">
        <v>18</v>
      </c>
      <c r="K147" s="26" t="s">
        <v>18</v>
      </c>
      <c r="L147" t="s">
        <v>18</v>
      </c>
      <c r="M147" t="s">
        <v>18</v>
      </c>
      <c r="N147" t="s">
        <v>18</v>
      </c>
      <c r="O147" t="s">
        <v>18</v>
      </c>
    </row>
    <row r="148" spans="1:15" ht="18" customHeight="1" x14ac:dyDescent="0.15">
      <c r="A148" t="s">
        <v>18</v>
      </c>
      <c r="B148" t="s">
        <v>18</v>
      </c>
      <c r="C148" s="6" t="s">
        <v>126</v>
      </c>
      <c r="D148" s="7" t="s">
        <v>20</v>
      </c>
      <c r="E148" s="8">
        <v>0.04</v>
      </c>
      <c r="F148" t="s">
        <v>21</v>
      </c>
      <c r="G148" s="9">
        <v>10</v>
      </c>
      <c r="H148" s="10">
        <v>0.44000000000000006</v>
      </c>
      <c r="I148" t="s">
        <v>18</v>
      </c>
      <c r="J148" t="s">
        <v>18</v>
      </c>
      <c r="K148" s="26" t="s">
        <v>18</v>
      </c>
      <c r="L148" t="s">
        <v>18</v>
      </c>
      <c r="M148" t="s">
        <v>18</v>
      </c>
      <c r="N148" t="s">
        <v>18</v>
      </c>
      <c r="O148" t="s">
        <v>18</v>
      </c>
    </row>
    <row r="149" spans="1:15" ht="18" customHeight="1" x14ac:dyDescent="0.15">
      <c r="A149" t="s">
        <v>18</v>
      </c>
      <c r="B149" t="s">
        <v>18</v>
      </c>
      <c r="C149" s="6" t="s">
        <v>142</v>
      </c>
      <c r="D149" s="7" t="s">
        <v>20</v>
      </c>
      <c r="E149" s="8">
        <v>0.02</v>
      </c>
      <c r="F149" t="s">
        <v>21</v>
      </c>
      <c r="G149" s="9">
        <v>14</v>
      </c>
      <c r="H149" s="10">
        <f>G149*E149</f>
        <v>0.28000000000000003</v>
      </c>
      <c r="I149" t="s">
        <v>18</v>
      </c>
      <c r="J149" t="s">
        <v>18</v>
      </c>
      <c r="K149" s="26" t="s">
        <v>18</v>
      </c>
      <c r="L149" t="s">
        <v>18</v>
      </c>
      <c r="M149" t="s">
        <v>18</v>
      </c>
      <c r="N149" t="s">
        <v>18</v>
      </c>
      <c r="O149" t="s">
        <v>18</v>
      </c>
    </row>
    <row r="150" spans="1:15" ht="18" customHeight="1" x14ac:dyDescent="0.15">
      <c r="A150" t="s">
        <v>18</v>
      </c>
      <c r="B150" t="s">
        <v>18</v>
      </c>
      <c r="C150" s="6" t="s">
        <v>230</v>
      </c>
      <c r="D150" s="7" t="s">
        <v>35</v>
      </c>
      <c r="E150" s="8">
        <v>0.02</v>
      </c>
      <c r="F150" t="s">
        <v>36</v>
      </c>
      <c r="G150" s="9">
        <v>10.7</v>
      </c>
      <c r="H150" s="10">
        <v>0.214</v>
      </c>
      <c r="I150" t="s">
        <v>18</v>
      </c>
      <c r="J150" t="s">
        <v>18</v>
      </c>
      <c r="K150" s="26" t="s">
        <v>18</v>
      </c>
      <c r="L150" t="s">
        <v>18</v>
      </c>
      <c r="M150" t="s">
        <v>18</v>
      </c>
      <c r="N150" t="s">
        <v>18</v>
      </c>
      <c r="O150" t="s">
        <v>18</v>
      </c>
    </row>
    <row r="151" spans="1:15" ht="18" customHeight="1" x14ac:dyDescent="0.15">
      <c r="A151" t="s">
        <v>18</v>
      </c>
      <c r="B151" t="s">
        <v>18</v>
      </c>
      <c r="C151" s="6" t="s">
        <v>143</v>
      </c>
      <c r="D151" s="7" t="s">
        <v>20</v>
      </c>
      <c r="E151" s="8">
        <v>0.02</v>
      </c>
      <c r="F151" t="s">
        <v>21</v>
      </c>
      <c r="G151" s="9">
        <v>5.5</v>
      </c>
      <c r="H151" s="10">
        <v>0.11550000000000001</v>
      </c>
      <c r="I151" t="s">
        <v>18</v>
      </c>
      <c r="J151" t="s">
        <v>18</v>
      </c>
      <c r="K151" s="26" t="s">
        <v>18</v>
      </c>
      <c r="L151" t="s">
        <v>18</v>
      </c>
      <c r="M151" t="s">
        <v>18</v>
      </c>
      <c r="N151" t="s">
        <v>18</v>
      </c>
      <c r="O151" t="s">
        <v>18</v>
      </c>
    </row>
    <row r="152" spans="1:15" ht="18" customHeight="1" x14ac:dyDescent="0.15">
      <c r="A152" t="s">
        <v>18</v>
      </c>
      <c r="B152" t="s">
        <v>18</v>
      </c>
      <c r="C152" s="6" t="s">
        <v>26</v>
      </c>
      <c r="D152" s="7" t="s">
        <v>20</v>
      </c>
      <c r="E152" s="8">
        <v>1</v>
      </c>
      <c r="F152" t="s">
        <v>27</v>
      </c>
      <c r="G152" s="9">
        <v>2.35</v>
      </c>
      <c r="H152" s="10">
        <v>2.35</v>
      </c>
      <c r="I152" t="s">
        <v>18</v>
      </c>
      <c r="J152" t="s">
        <v>18</v>
      </c>
      <c r="K152" s="26" t="s">
        <v>18</v>
      </c>
      <c r="L152" t="s">
        <v>18</v>
      </c>
      <c r="M152" t="s">
        <v>18</v>
      </c>
      <c r="N152" t="s">
        <v>18</v>
      </c>
      <c r="O152" t="s">
        <v>18</v>
      </c>
    </row>
  </sheetData>
  <mergeCells count="1">
    <mergeCell ref="A1:O1"/>
  </mergeCells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48"/>
  <sheetViews>
    <sheetView tabSelected="1" workbookViewId="0">
      <pane ySplit="2" topLeftCell="A3" activePane="bottomLeft" state="frozen"/>
      <selection pane="bottomLeft" activeCell="J44" sqref="J44"/>
    </sheetView>
    <sheetView tabSelected="1" topLeftCell="A35" workbookViewId="1">
      <selection sqref="A1:O1"/>
    </sheetView>
  </sheetViews>
  <sheetFormatPr baseColWidth="10" defaultColWidth="8.83203125" defaultRowHeight="14" x14ac:dyDescent="0.15"/>
  <cols>
    <col min="1" max="1" width="28" customWidth="1"/>
    <col min="2" max="2" width="16" customWidth="1"/>
    <col min="3" max="3" width="28" customWidth="1"/>
    <col min="4" max="4" width="12" customWidth="1"/>
    <col min="5" max="6" width="8" customWidth="1"/>
    <col min="7" max="7" width="14" customWidth="1"/>
    <col min="8" max="9" width="18" customWidth="1"/>
    <col min="10" max="10" width="14" customWidth="1"/>
    <col min="11" max="11" width="10" style="26" customWidth="1"/>
    <col min="12" max="12" width="10" customWidth="1"/>
    <col min="13" max="13" width="20" customWidth="1"/>
    <col min="14" max="14" width="24" customWidth="1"/>
    <col min="15" max="15" width="16" customWidth="1"/>
  </cols>
  <sheetData>
    <row r="1" spans="1:15" ht="18" customHeight="1" x14ac:dyDescent="0.15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</row>
    <row r="2" spans="1:15" ht="32" customHeight="1" x14ac:dyDescent="0.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24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 spans="1:15" ht="20" customHeight="1" x14ac:dyDescent="0.15">
      <c r="A3" s="2" t="s">
        <v>231</v>
      </c>
      <c r="B3" s="2" t="s">
        <v>232</v>
      </c>
      <c r="C3" s="2" t="s">
        <v>18</v>
      </c>
      <c r="D3" s="2" t="s">
        <v>18</v>
      </c>
      <c r="E3" s="2" t="s">
        <v>18</v>
      </c>
      <c r="F3" s="2" t="s">
        <v>18</v>
      </c>
      <c r="G3" s="2" t="s">
        <v>18</v>
      </c>
      <c r="H3" s="2" t="s">
        <v>18</v>
      </c>
      <c r="I3" s="3">
        <v>45</v>
      </c>
      <c r="J3" s="3">
        <f>SUM(H4:H10)</f>
        <v>11.5899</v>
      </c>
      <c r="K3" s="25">
        <f>J3/(I3/1.18)</f>
        <v>0.30391293333333336</v>
      </c>
      <c r="L3" s="5">
        <v>96</v>
      </c>
      <c r="M3" s="3">
        <f>L3*(I3/1.18)</f>
        <v>3661.0169491525421</v>
      </c>
      <c r="N3" s="3">
        <f>L3*J3</f>
        <v>1112.6304</v>
      </c>
      <c r="O3" s="4">
        <f>N3/M3</f>
        <v>0.30391293333333336</v>
      </c>
    </row>
    <row r="4" spans="1:15" ht="18" customHeight="1" x14ac:dyDescent="0.15">
      <c r="A4" t="s">
        <v>18</v>
      </c>
      <c r="B4" t="s">
        <v>18</v>
      </c>
      <c r="C4" s="6" t="s">
        <v>59</v>
      </c>
      <c r="D4" s="7" t="s">
        <v>20</v>
      </c>
      <c r="E4" s="8">
        <v>0.05</v>
      </c>
      <c r="F4" t="s">
        <v>21</v>
      </c>
      <c r="G4" s="9">
        <v>13.16</v>
      </c>
      <c r="H4" s="10">
        <v>0.65800000000000003</v>
      </c>
      <c r="I4" t="s">
        <v>18</v>
      </c>
      <c r="J4" t="s">
        <v>18</v>
      </c>
      <c r="K4" s="26" t="s">
        <v>18</v>
      </c>
      <c r="L4" t="s">
        <v>18</v>
      </c>
      <c r="M4" t="s">
        <v>18</v>
      </c>
      <c r="N4" t="s">
        <v>18</v>
      </c>
      <c r="O4" t="s">
        <v>18</v>
      </c>
    </row>
    <row r="5" spans="1:15" ht="18" customHeight="1" x14ac:dyDescent="0.15">
      <c r="A5" t="s">
        <v>18</v>
      </c>
      <c r="B5" t="s">
        <v>18</v>
      </c>
      <c r="C5" s="6" t="s">
        <v>30</v>
      </c>
      <c r="D5" s="7" t="s">
        <v>31</v>
      </c>
      <c r="E5" s="8">
        <v>1</v>
      </c>
      <c r="F5" t="s">
        <v>32</v>
      </c>
      <c r="G5" s="9">
        <v>0.7</v>
      </c>
      <c r="H5" s="10">
        <v>0.7</v>
      </c>
      <c r="I5" t="s">
        <v>18</v>
      </c>
      <c r="J5" t="s">
        <v>18</v>
      </c>
      <c r="K5" s="26" t="s">
        <v>18</v>
      </c>
      <c r="L5" t="s">
        <v>18</v>
      </c>
      <c r="M5" t="s">
        <v>18</v>
      </c>
      <c r="N5" t="s">
        <v>18</v>
      </c>
      <c r="O5" t="s">
        <v>18</v>
      </c>
    </row>
    <row r="6" spans="1:15" ht="18" customHeight="1" x14ac:dyDescent="0.15">
      <c r="A6" t="s">
        <v>18</v>
      </c>
      <c r="B6" t="s">
        <v>18</v>
      </c>
      <c r="C6" s="6" t="s">
        <v>212</v>
      </c>
      <c r="D6" s="7" t="s">
        <v>35</v>
      </c>
      <c r="E6" s="8">
        <v>0.05</v>
      </c>
      <c r="F6" t="s">
        <v>36</v>
      </c>
      <c r="G6" s="9">
        <v>8.64</v>
      </c>
      <c r="H6" s="10">
        <v>0.43200000000000005</v>
      </c>
      <c r="I6" t="s">
        <v>18</v>
      </c>
      <c r="J6" t="s">
        <v>18</v>
      </c>
      <c r="K6" s="26" t="s">
        <v>18</v>
      </c>
      <c r="L6" t="s">
        <v>18</v>
      </c>
      <c r="M6" t="s">
        <v>18</v>
      </c>
      <c r="N6" t="s">
        <v>18</v>
      </c>
      <c r="O6" t="s">
        <v>18</v>
      </c>
    </row>
    <row r="7" spans="1:15" ht="18" customHeight="1" x14ac:dyDescent="0.15">
      <c r="A7" t="s">
        <v>18</v>
      </c>
      <c r="B7" t="s">
        <v>18</v>
      </c>
      <c r="C7" s="6" t="s">
        <v>124</v>
      </c>
      <c r="D7" s="7" t="s">
        <v>35</v>
      </c>
      <c r="E7" s="8">
        <v>0.02</v>
      </c>
      <c r="F7" t="s">
        <v>36</v>
      </c>
      <c r="G7" s="9">
        <v>8.3000000000000007</v>
      </c>
      <c r="H7" s="10">
        <v>0.16600000000000001</v>
      </c>
      <c r="I7" t="s">
        <v>18</v>
      </c>
      <c r="J7" t="s">
        <v>18</v>
      </c>
      <c r="K7" s="26" t="s">
        <v>18</v>
      </c>
      <c r="L7" t="s">
        <v>18</v>
      </c>
      <c r="M7" t="s">
        <v>18</v>
      </c>
      <c r="N7" t="s">
        <v>18</v>
      </c>
      <c r="O7" t="s">
        <v>18</v>
      </c>
    </row>
    <row r="8" spans="1:15" ht="18" customHeight="1" x14ac:dyDescent="0.15">
      <c r="A8" t="s">
        <v>18</v>
      </c>
      <c r="B8" t="s">
        <v>18</v>
      </c>
      <c r="C8" s="6" t="s">
        <v>44</v>
      </c>
      <c r="D8" s="7" t="s">
        <v>35</v>
      </c>
      <c r="E8" s="8">
        <v>0.02</v>
      </c>
      <c r="F8" t="s">
        <v>36</v>
      </c>
      <c r="G8" s="9">
        <v>12.87</v>
      </c>
      <c r="H8" s="10">
        <v>0.25739999999999996</v>
      </c>
      <c r="I8" t="s">
        <v>18</v>
      </c>
      <c r="J8" t="s">
        <v>18</v>
      </c>
      <c r="K8" s="26" t="s">
        <v>18</v>
      </c>
      <c r="L8" t="s">
        <v>18</v>
      </c>
      <c r="M8" t="s">
        <v>18</v>
      </c>
      <c r="N8" t="s">
        <v>18</v>
      </c>
      <c r="O8" t="s">
        <v>18</v>
      </c>
    </row>
    <row r="9" spans="1:15" ht="18" customHeight="1" x14ac:dyDescent="0.15">
      <c r="A9" t="s">
        <v>18</v>
      </c>
      <c r="B9" t="s">
        <v>18</v>
      </c>
      <c r="C9" s="6" t="s">
        <v>122</v>
      </c>
      <c r="D9" s="7" t="s">
        <v>35</v>
      </c>
      <c r="E9" s="8">
        <v>0.15</v>
      </c>
      <c r="F9" t="s">
        <v>36</v>
      </c>
      <c r="G9" s="9">
        <v>40.61</v>
      </c>
      <c r="H9" s="10">
        <f>G9*E9</f>
        <v>6.0914999999999999</v>
      </c>
      <c r="I9" t="s">
        <v>18</v>
      </c>
      <c r="J9" t="s">
        <v>18</v>
      </c>
      <c r="K9" s="26" t="s">
        <v>18</v>
      </c>
      <c r="L9" t="s">
        <v>18</v>
      </c>
      <c r="M9" t="s">
        <v>18</v>
      </c>
      <c r="N9" t="s">
        <v>18</v>
      </c>
      <c r="O9" t="s">
        <v>18</v>
      </c>
    </row>
    <row r="10" spans="1:15" ht="18" customHeight="1" x14ac:dyDescent="0.15">
      <c r="A10" t="s">
        <v>18</v>
      </c>
      <c r="B10" t="s">
        <v>18</v>
      </c>
      <c r="C10" s="6" t="s">
        <v>233</v>
      </c>
      <c r="D10" s="7" t="s">
        <v>20</v>
      </c>
      <c r="E10" s="8">
        <v>1</v>
      </c>
      <c r="F10" t="s">
        <v>27</v>
      </c>
      <c r="G10" s="9">
        <v>3.2850000000000001</v>
      </c>
      <c r="H10" s="10">
        <v>3.2850000000000001</v>
      </c>
      <c r="I10" t="s">
        <v>18</v>
      </c>
      <c r="J10" t="s">
        <v>18</v>
      </c>
      <c r="K10" s="26" t="s">
        <v>18</v>
      </c>
      <c r="L10" t="s">
        <v>18</v>
      </c>
      <c r="M10" t="s">
        <v>18</v>
      </c>
      <c r="N10" t="s">
        <v>18</v>
      </c>
      <c r="O10" t="s">
        <v>18</v>
      </c>
    </row>
    <row r="12" spans="1:15" ht="20" customHeight="1" x14ac:dyDescent="0.15">
      <c r="A12" s="2" t="s">
        <v>234</v>
      </c>
      <c r="B12" s="2" t="s">
        <v>232</v>
      </c>
      <c r="C12" s="2" t="s">
        <v>18</v>
      </c>
      <c r="D12" s="2" t="s">
        <v>18</v>
      </c>
      <c r="E12" s="2" t="s">
        <v>18</v>
      </c>
      <c r="F12" s="2" t="s">
        <v>18</v>
      </c>
      <c r="G12" s="2" t="s">
        <v>18</v>
      </c>
      <c r="H12" s="2" t="s">
        <v>18</v>
      </c>
      <c r="I12" s="3">
        <v>45</v>
      </c>
      <c r="J12" s="3">
        <f>SUM(H13:H19)</f>
        <v>15.548578399999998</v>
      </c>
      <c r="K12" s="25">
        <f>J12/(I12/1.18)</f>
        <v>0.40771827804444438</v>
      </c>
      <c r="L12" s="5">
        <v>374</v>
      </c>
      <c r="M12" s="3">
        <f>L12*(I12/1.18)</f>
        <v>14262.71186440678</v>
      </c>
      <c r="N12" s="3">
        <f>L12*J12</f>
        <v>5815.1683215999992</v>
      </c>
      <c r="O12" s="4">
        <f>N12/M12</f>
        <v>0.40771827804444438</v>
      </c>
    </row>
    <row r="13" spans="1:15" ht="18" customHeight="1" x14ac:dyDescent="0.15">
      <c r="A13" t="s">
        <v>18</v>
      </c>
      <c r="B13" t="s">
        <v>18</v>
      </c>
      <c r="C13" s="6" t="s">
        <v>30</v>
      </c>
      <c r="D13" s="7" t="s">
        <v>31</v>
      </c>
      <c r="E13" s="8">
        <v>1</v>
      </c>
      <c r="F13" t="s">
        <v>32</v>
      </c>
      <c r="G13" s="9">
        <v>0.7</v>
      </c>
      <c r="H13" s="10">
        <v>0.7</v>
      </c>
      <c r="I13" t="s">
        <v>18</v>
      </c>
      <c r="J13" t="s">
        <v>18</v>
      </c>
      <c r="K13" s="26" t="s">
        <v>18</v>
      </c>
      <c r="L13" t="s">
        <v>18</v>
      </c>
      <c r="M13" t="s">
        <v>18</v>
      </c>
      <c r="N13" t="s">
        <v>18</v>
      </c>
      <c r="O13" t="s">
        <v>18</v>
      </c>
    </row>
    <row r="14" spans="1:15" ht="18" customHeight="1" x14ac:dyDescent="0.15">
      <c r="A14" t="s">
        <v>18</v>
      </c>
      <c r="B14" t="s">
        <v>18</v>
      </c>
      <c r="C14" s="6" t="s">
        <v>56</v>
      </c>
      <c r="D14" s="7" t="s">
        <v>35</v>
      </c>
      <c r="E14" s="8">
        <v>0.18</v>
      </c>
      <c r="F14" t="s">
        <v>36</v>
      </c>
      <c r="G14" s="9">
        <v>51.9</v>
      </c>
      <c r="H14" s="10">
        <f>G14*E14</f>
        <v>9.3419999999999987</v>
      </c>
      <c r="I14" t="s">
        <v>18</v>
      </c>
      <c r="J14" t="s">
        <v>18</v>
      </c>
      <c r="K14" s="26" t="s">
        <v>18</v>
      </c>
      <c r="L14" t="s">
        <v>18</v>
      </c>
      <c r="M14" t="s">
        <v>18</v>
      </c>
      <c r="N14" t="s">
        <v>18</v>
      </c>
      <c r="O14" t="s">
        <v>18</v>
      </c>
    </row>
    <row r="15" spans="1:15" ht="18" customHeight="1" x14ac:dyDescent="0.15">
      <c r="A15" t="s">
        <v>18</v>
      </c>
      <c r="B15" t="s">
        <v>18</v>
      </c>
      <c r="C15" s="6" t="s">
        <v>186</v>
      </c>
      <c r="D15" s="7" t="s">
        <v>20</v>
      </c>
      <c r="E15" s="8">
        <v>0.03</v>
      </c>
      <c r="F15" t="s">
        <v>21</v>
      </c>
      <c r="G15" s="9">
        <v>26.079279999999997</v>
      </c>
      <c r="H15" s="10">
        <v>0.78237839999999992</v>
      </c>
      <c r="I15" t="s">
        <v>18</v>
      </c>
      <c r="J15" t="s">
        <v>18</v>
      </c>
      <c r="K15" s="26" t="s">
        <v>18</v>
      </c>
      <c r="L15" t="s">
        <v>18</v>
      </c>
      <c r="M15" t="s">
        <v>18</v>
      </c>
      <c r="N15" t="s">
        <v>18</v>
      </c>
      <c r="O15" t="s">
        <v>18</v>
      </c>
    </row>
    <row r="16" spans="1:15" ht="18" customHeight="1" x14ac:dyDescent="0.15">
      <c r="A16" t="s">
        <v>18</v>
      </c>
      <c r="B16" t="s">
        <v>18</v>
      </c>
      <c r="C16" s="6" t="s">
        <v>62</v>
      </c>
      <c r="D16" s="7" t="s">
        <v>35</v>
      </c>
      <c r="E16" s="8">
        <v>0.03</v>
      </c>
      <c r="F16" t="s">
        <v>36</v>
      </c>
      <c r="G16" s="9">
        <v>13.24</v>
      </c>
      <c r="H16" s="10">
        <v>0.3972</v>
      </c>
      <c r="I16" t="s">
        <v>18</v>
      </c>
      <c r="J16" t="s">
        <v>18</v>
      </c>
      <c r="K16" s="26" t="s">
        <v>18</v>
      </c>
      <c r="L16" t="s">
        <v>18</v>
      </c>
      <c r="M16" t="s">
        <v>18</v>
      </c>
      <c r="N16" t="s">
        <v>18</v>
      </c>
      <c r="O16" t="s">
        <v>18</v>
      </c>
    </row>
    <row r="17" spans="1:15" ht="18" customHeight="1" x14ac:dyDescent="0.15">
      <c r="A17" t="s">
        <v>18</v>
      </c>
      <c r="B17" t="s">
        <v>18</v>
      </c>
      <c r="C17" s="6" t="s">
        <v>140</v>
      </c>
      <c r="D17" s="7" t="s">
        <v>20</v>
      </c>
      <c r="E17" s="8">
        <v>0.03</v>
      </c>
      <c r="F17" t="s">
        <v>21</v>
      </c>
      <c r="G17" s="9">
        <v>29</v>
      </c>
      <c r="H17" s="10">
        <v>0.87</v>
      </c>
      <c r="I17" t="s">
        <v>18</v>
      </c>
      <c r="J17" t="s">
        <v>18</v>
      </c>
      <c r="K17" s="26" t="s">
        <v>18</v>
      </c>
      <c r="L17" t="s">
        <v>18</v>
      </c>
      <c r="M17" t="s">
        <v>18</v>
      </c>
      <c r="N17" t="s">
        <v>18</v>
      </c>
      <c r="O17" t="s">
        <v>18</v>
      </c>
    </row>
    <row r="18" spans="1:15" ht="18" customHeight="1" x14ac:dyDescent="0.15">
      <c r="A18" t="s">
        <v>18</v>
      </c>
      <c r="B18" t="s">
        <v>18</v>
      </c>
      <c r="C18" s="6" t="s">
        <v>165</v>
      </c>
      <c r="D18" s="7" t="s">
        <v>35</v>
      </c>
      <c r="E18" s="8">
        <v>0.02</v>
      </c>
      <c r="F18" t="s">
        <v>36</v>
      </c>
      <c r="G18" s="9">
        <v>8.6</v>
      </c>
      <c r="H18" s="10">
        <v>0.17199999999999999</v>
      </c>
      <c r="I18" t="s">
        <v>18</v>
      </c>
      <c r="J18" t="s">
        <v>18</v>
      </c>
      <c r="K18" s="26" t="s">
        <v>18</v>
      </c>
      <c r="L18" t="s">
        <v>18</v>
      </c>
      <c r="M18" t="s">
        <v>18</v>
      </c>
      <c r="N18" t="s">
        <v>18</v>
      </c>
      <c r="O18" t="s">
        <v>18</v>
      </c>
    </row>
    <row r="19" spans="1:15" ht="18" customHeight="1" x14ac:dyDescent="0.15">
      <c r="A19" t="s">
        <v>18</v>
      </c>
      <c r="B19" t="s">
        <v>18</v>
      </c>
      <c r="C19" s="6" t="s">
        <v>233</v>
      </c>
      <c r="D19" s="7" t="s">
        <v>20</v>
      </c>
      <c r="E19" s="8">
        <v>1</v>
      </c>
      <c r="F19" t="s">
        <v>27</v>
      </c>
      <c r="G19" s="9">
        <v>3.2850000000000001</v>
      </c>
      <c r="H19" s="10">
        <v>3.2850000000000001</v>
      </c>
      <c r="I19" t="s">
        <v>18</v>
      </c>
      <c r="J19" t="s">
        <v>18</v>
      </c>
      <c r="K19" s="26" t="s">
        <v>18</v>
      </c>
      <c r="L19" t="s">
        <v>18</v>
      </c>
      <c r="M19" t="s">
        <v>18</v>
      </c>
      <c r="N19" t="s">
        <v>18</v>
      </c>
      <c r="O19" t="s">
        <v>18</v>
      </c>
    </row>
    <row r="21" spans="1:15" ht="20" customHeight="1" x14ac:dyDescent="0.15">
      <c r="A21" s="2" t="s">
        <v>235</v>
      </c>
      <c r="B21" s="2" t="s">
        <v>232</v>
      </c>
      <c r="C21" s="2" t="s">
        <v>18</v>
      </c>
      <c r="D21" s="2" t="s">
        <v>18</v>
      </c>
      <c r="E21" s="2" t="s">
        <v>18</v>
      </c>
      <c r="F21" s="2" t="s">
        <v>18</v>
      </c>
      <c r="G21" s="2" t="s">
        <v>18</v>
      </c>
      <c r="H21" s="2" t="s">
        <v>18</v>
      </c>
      <c r="I21" s="3">
        <v>35</v>
      </c>
      <c r="J21" s="3">
        <f>SUM(H22:H28)</f>
        <v>10.0868</v>
      </c>
      <c r="K21" s="25">
        <f>J21/(I21/1.18)</f>
        <v>0.34006925714285713</v>
      </c>
      <c r="L21" s="5">
        <v>355</v>
      </c>
      <c r="M21" s="3">
        <f>L21*(I21/1.18)</f>
        <v>10529.661016949152</v>
      </c>
      <c r="N21" s="3">
        <f>L21*J21</f>
        <v>3580.8139999999999</v>
      </c>
      <c r="O21" s="4">
        <f>N21/M21</f>
        <v>0.34006925714285713</v>
      </c>
    </row>
    <row r="22" spans="1:15" ht="18" customHeight="1" x14ac:dyDescent="0.15">
      <c r="A22" t="s">
        <v>18</v>
      </c>
      <c r="B22" t="s">
        <v>18</v>
      </c>
      <c r="C22" s="6" t="s">
        <v>171</v>
      </c>
      <c r="D22" s="7" t="s">
        <v>35</v>
      </c>
      <c r="E22" s="8">
        <v>0.05</v>
      </c>
      <c r="F22" t="s">
        <v>36</v>
      </c>
      <c r="G22" s="9">
        <v>17.940000000000001</v>
      </c>
      <c r="H22" s="10">
        <v>0.89700000000000013</v>
      </c>
      <c r="I22" t="s">
        <v>18</v>
      </c>
      <c r="J22" t="s">
        <v>18</v>
      </c>
      <c r="K22" s="26" t="s">
        <v>18</v>
      </c>
      <c r="L22" t="s">
        <v>18</v>
      </c>
      <c r="M22" t="s">
        <v>18</v>
      </c>
      <c r="N22" t="s">
        <v>18</v>
      </c>
      <c r="O22" t="s">
        <v>18</v>
      </c>
    </row>
    <row r="23" spans="1:15" ht="18" customHeight="1" x14ac:dyDescent="0.15">
      <c r="A23" t="s">
        <v>18</v>
      </c>
      <c r="B23" t="s">
        <v>18</v>
      </c>
      <c r="C23" s="6" t="s">
        <v>212</v>
      </c>
      <c r="D23" s="7" t="s">
        <v>35</v>
      </c>
      <c r="E23" s="8">
        <v>7.0000000000000007E-2</v>
      </c>
      <c r="F23" t="s">
        <v>36</v>
      </c>
      <c r="G23" s="9">
        <v>8.64</v>
      </c>
      <c r="H23" s="10">
        <v>0.60480000000000012</v>
      </c>
      <c r="I23" t="s">
        <v>18</v>
      </c>
      <c r="J23" t="s">
        <v>18</v>
      </c>
      <c r="K23" s="26" t="s">
        <v>18</v>
      </c>
      <c r="L23" t="s">
        <v>18</v>
      </c>
      <c r="M23" t="s">
        <v>18</v>
      </c>
      <c r="N23" t="s">
        <v>18</v>
      </c>
      <c r="O23" t="s">
        <v>18</v>
      </c>
    </row>
    <row r="24" spans="1:15" ht="18" customHeight="1" x14ac:dyDescent="0.15">
      <c r="A24" t="s">
        <v>18</v>
      </c>
      <c r="B24" t="s">
        <v>18</v>
      </c>
      <c r="C24" s="6" t="s">
        <v>30</v>
      </c>
      <c r="D24" s="7" t="s">
        <v>31</v>
      </c>
      <c r="E24" s="8">
        <v>1</v>
      </c>
      <c r="F24" t="s">
        <v>32</v>
      </c>
      <c r="G24" s="9">
        <v>0.7</v>
      </c>
      <c r="H24" s="10">
        <v>0.7</v>
      </c>
      <c r="I24" t="s">
        <v>18</v>
      </c>
      <c r="J24" t="s">
        <v>18</v>
      </c>
      <c r="K24" s="26" t="s">
        <v>18</v>
      </c>
      <c r="L24" t="s">
        <v>18</v>
      </c>
      <c r="M24" t="s">
        <v>18</v>
      </c>
      <c r="N24" t="s">
        <v>18</v>
      </c>
      <c r="O24" t="s">
        <v>18</v>
      </c>
    </row>
    <row r="25" spans="1:15" ht="18" customHeight="1" x14ac:dyDescent="0.15">
      <c r="A25" t="s">
        <v>18</v>
      </c>
      <c r="B25" t="s">
        <v>18</v>
      </c>
      <c r="C25" s="6" t="s">
        <v>129</v>
      </c>
      <c r="D25" s="7" t="s">
        <v>20</v>
      </c>
      <c r="E25" s="8">
        <v>0.14000000000000001</v>
      </c>
      <c r="F25" t="s">
        <v>21</v>
      </c>
      <c r="G25" s="9">
        <v>28</v>
      </c>
      <c r="H25" s="10">
        <v>3.9200000000000004</v>
      </c>
      <c r="I25" t="s">
        <v>18</v>
      </c>
      <c r="J25" t="s">
        <v>18</v>
      </c>
      <c r="K25" s="26" t="s">
        <v>18</v>
      </c>
      <c r="L25" t="s">
        <v>18</v>
      </c>
      <c r="M25" t="s">
        <v>18</v>
      </c>
      <c r="N25" t="s">
        <v>18</v>
      </c>
      <c r="O25" t="s">
        <v>18</v>
      </c>
    </row>
    <row r="26" spans="1:15" ht="18" customHeight="1" x14ac:dyDescent="0.15">
      <c r="A26" t="s">
        <v>18</v>
      </c>
      <c r="B26" t="s">
        <v>18</v>
      </c>
      <c r="C26" s="6" t="s">
        <v>125</v>
      </c>
      <c r="D26" s="7" t="s">
        <v>20</v>
      </c>
      <c r="E26" s="8">
        <v>0.02</v>
      </c>
      <c r="F26" t="s">
        <v>21</v>
      </c>
      <c r="G26" s="9">
        <v>14</v>
      </c>
      <c r="H26" s="10">
        <f>G26*E26</f>
        <v>0.28000000000000003</v>
      </c>
      <c r="I26" t="s">
        <v>18</v>
      </c>
      <c r="J26" t="s">
        <v>18</v>
      </c>
      <c r="K26" s="26" t="s">
        <v>18</v>
      </c>
      <c r="L26" t="s">
        <v>18</v>
      </c>
      <c r="M26" t="s">
        <v>18</v>
      </c>
      <c r="N26" t="s">
        <v>18</v>
      </c>
      <c r="O26" t="s">
        <v>18</v>
      </c>
    </row>
    <row r="27" spans="1:15" ht="18" customHeight="1" x14ac:dyDescent="0.15">
      <c r="A27" t="s">
        <v>18</v>
      </c>
      <c r="B27" t="s">
        <v>18</v>
      </c>
      <c r="C27" s="6" t="s">
        <v>126</v>
      </c>
      <c r="D27" s="7" t="s">
        <v>20</v>
      </c>
      <c r="E27" s="8">
        <v>0.04</v>
      </c>
      <c r="F27" t="s">
        <v>21</v>
      </c>
      <c r="G27" s="9">
        <v>10</v>
      </c>
      <c r="H27" s="10">
        <v>0.4</v>
      </c>
      <c r="I27" t="s">
        <v>18</v>
      </c>
      <c r="J27" t="s">
        <v>18</v>
      </c>
      <c r="K27" s="26" t="s">
        <v>18</v>
      </c>
      <c r="L27" t="s">
        <v>18</v>
      </c>
      <c r="M27" t="s">
        <v>18</v>
      </c>
      <c r="N27" t="s">
        <v>18</v>
      </c>
      <c r="O27" t="s">
        <v>18</v>
      </c>
    </row>
    <row r="28" spans="1:15" ht="18" customHeight="1" x14ac:dyDescent="0.15">
      <c r="A28" t="s">
        <v>18</v>
      </c>
      <c r="B28" t="s">
        <v>18</v>
      </c>
      <c r="C28" s="6" t="s">
        <v>233</v>
      </c>
      <c r="D28" s="7" t="s">
        <v>20</v>
      </c>
      <c r="E28" s="8">
        <v>1</v>
      </c>
      <c r="F28" t="s">
        <v>27</v>
      </c>
      <c r="G28" s="9">
        <v>3.2850000000000001</v>
      </c>
      <c r="H28" s="10">
        <v>3.2850000000000001</v>
      </c>
      <c r="I28" t="s">
        <v>18</v>
      </c>
      <c r="J28" t="s">
        <v>18</v>
      </c>
      <c r="K28" s="26" t="s">
        <v>18</v>
      </c>
      <c r="L28" t="s">
        <v>18</v>
      </c>
      <c r="M28" t="s">
        <v>18</v>
      </c>
      <c r="N28" t="s">
        <v>18</v>
      </c>
      <c r="O28" t="s">
        <v>18</v>
      </c>
    </row>
    <row r="30" spans="1:15" ht="20" customHeight="1" x14ac:dyDescent="0.15">
      <c r="A30" s="2" t="s">
        <v>260</v>
      </c>
      <c r="B30" s="2" t="s">
        <v>232</v>
      </c>
      <c r="C30" s="2" t="s">
        <v>18</v>
      </c>
      <c r="D30" s="2" t="s">
        <v>18</v>
      </c>
      <c r="E30" s="2" t="s">
        <v>18</v>
      </c>
      <c r="F30" s="2" t="s">
        <v>18</v>
      </c>
      <c r="G30" s="2" t="s">
        <v>18</v>
      </c>
      <c r="H30" s="2" t="s">
        <v>18</v>
      </c>
      <c r="I30" s="3">
        <v>35</v>
      </c>
      <c r="J30" s="3">
        <f>SUM(H31:H38)</f>
        <v>9.4170000000000016</v>
      </c>
      <c r="K30" s="25">
        <f>J30/(I30/1.18)</f>
        <v>0.31748742857142864</v>
      </c>
      <c r="L30" s="5">
        <v>67</v>
      </c>
      <c r="M30" s="3">
        <f>L30*(I30/1.18)</f>
        <v>1987.2881355932204</v>
      </c>
      <c r="N30" s="3">
        <f>L30*J30</f>
        <v>630.93900000000008</v>
      </c>
      <c r="O30" s="4">
        <f>N30/M30</f>
        <v>0.31748742857142859</v>
      </c>
    </row>
    <row r="31" spans="1:15" ht="18" customHeight="1" x14ac:dyDescent="0.15">
      <c r="A31" t="s">
        <v>18</v>
      </c>
      <c r="B31" t="s">
        <v>18</v>
      </c>
      <c r="C31" s="6" t="s">
        <v>49</v>
      </c>
      <c r="D31" s="7" t="s">
        <v>35</v>
      </c>
      <c r="E31" s="8">
        <v>0.02</v>
      </c>
      <c r="F31" t="s">
        <v>36</v>
      </c>
      <c r="G31" s="9">
        <v>7.01</v>
      </c>
      <c r="H31" s="10">
        <v>0.14019999999999999</v>
      </c>
      <c r="I31" t="s">
        <v>18</v>
      </c>
      <c r="J31" t="s">
        <v>18</v>
      </c>
      <c r="K31" s="26" t="s">
        <v>18</v>
      </c>
      <c r="L31" t="s">
        <v>18</v>
      </c>
      <c r="M31" t="s">
        <v>18</v>
      </c>
      <c r="N31" t="s">
        <v>18</v>
      </c>
      <c r="O31" t="s">
        <v>18</v>
      </c>
    </row>
    <row r="32" spans="1:15" ht="18" customHeight="1" x14ac:dyDescent="0.15">
      <c r="A32" t="s">
        <v>18</v>
      </c>
      <c r="B32" t="s">
        <v>18</v>
      </c>
      <c r="C32" s="6" t="s">
        <v>212</v>
      </c>
      <c r="D32" s="7" t="s">
        <v>35</v>
      </c>
      <c r="E32" s="8">
        <v>7.0000000000000007E-2</v>
      </c>
      <c r="F32" t="s">
        <v>36</v>
      </c>
      <c r="G32" s="9">
        <v>8.64</v>
      </c>
      <c r="H32" s="10">
        <v>0.60480000000000012</v>
      </c>
      <c r="I32" t="s">
        <v>18</v>
      </c>
      <c r="J32" t="s">
        <v>18</v>
      </c>
      <c r="K32" s="26" t="s">
        <v>18</v>
      </c>
      <c r="L32" t="s">
        <v>18</v>
      </c>
      <c r="M32" t="s">
        <v>18</v>
      </c>
      <c r="N32" t="s">
        <v>18</v>
      </c>
      <c r="O32" t="s">
        <v>18</v>
      </c>
    </row>
    <row r="33" spans="1:15" ht="18" customHeight="1" x14ac:dyDescent="0.15">
      <c r="A33" t="s">
        <v>18</v>
      </c>
      <c r="B33" t="s">
        <v>18</v>
      </c>
      <c r="C33" s="6" t="s">
        <v>30</v>
      </c>
      <c r="D33" s="7" t="s">
        <v>31</v>
      </c>
      <c r="E33" s="8">
        <v>1</v>
      </c>
      <c r="F33" t="s">
        <v>32</v>
      </c>
      <c r="G33" s="9">
        <v>0.7</v>
      </c>
      <c r="H33" s="10">
        <v>0.7</v>
      </c>
      <c r="I33" t="s">
        <v>18</v>
      </c>
      <c r="J33" t="s">
        <v>18</v>
      </c>
      <c r="K33" s="26" t="s">
        <v>18</v>
      </c>
      <c r="L33" t="s">
        <v>18</v>
      </c>
      <c r="M33" t="s">
        <v>18</v>
      </c>
      <c r="N33" t="s">
        <v>18</v>
      </c>
      <c r="O33" t="s">
        <v>18</v>
      </c>
    </row>
    <row r="34" spans="1:15" ht="18" customHeight="1" x14ac:dyDescent="0.15">
      <c r="A34" t="s">
        <v>18</v>
      </c>
      <c r="B34" t="s">
        <v>18</v>
      </c>
      <c r="C34" s="6" t="s">
        <v>129</v>
      </c>
      <c r="D34" s="7" t="s">
        <v>20</v>
      </c>
      <c r="E34" s="8">
        <v>0.14000000000000001</v>
      </c>
      <c r="F34" t="s">
        <v>21</v>
      </c>
      <c r="G34" s="9">
        <v>28</v>
      </c>
      <c r="H34" s="10">
        <v>3.9200000000000004</v>
      </c>
      <c r="I34" t="s">
        <v>18</v>
      </c>
      <c r="J34" t="s">
        <v>18</v>
      </c>
      <c r="K34" s="26" t="s">
        <v>18</v>
      </c>
      <c r="L34" t="s">
        <v>18</v>
      </c>
      <c r="M34" t="s">
        <v>18</v>
      </c>
      <c r="N34" t="s">
        <v>18</v>
      </c>
      <c r="O34" t="s">
        <v>18</v>
      </c>
    </row>
    <row r="35" spans="1:15" ht="18" customHeight="1" x14ac:dyDescent="0.15">
      <c r="A35" t="s">
        <v>18</v>
      </c>
      <c r="B35" t="s">
        <v>18</v>
      </c>
      <c r="C35" s="6" t="s">
        <v>125</v>
      </c>
      <c r="D35" s="7" t="s">
        <v>20</v>
      </c>
      <c r="E35" s="8">
        <v>0.02</v>
      </c>
      <c r="F35" t="s">
        <v>21</v>
      </c>
      <c r="G35" s="9">
        <v>14</v>
      </c>
      <c r="H35" s="10">
        <f>G35*E35</f>
        <v>0.28000000000000003</v>
      </c>
      <c r="I35" t="s">
        <v>18</v>
      </c>
      <c r="J35" t="s">
        <v>18</v>
      </c>
      <c r="K35" s="26" t="s">
        <v>18</v>
      </c>
      <c r="L35" t="s">
        <v>18</v>
      </c>
      <c r="M35" t="s">
        <v>18</v>
      </c>
      <c r="N35" t="s">
        <v>18</v>
      </c>
      <c r="O35" t="s">
        <v>18</v>
      </c>
    </row>
    <row r="36" spans="1:15" ht="18" customHeight="1" x14ac:dyDescent="0.15">
      <c r="A36" t="s">
        <v>18</v>
      </c>
      <c r="B36" t="s">
        <v>18</v>
      </c>
      <c r="C36" s="6" t="s">
        <v>126</v>
      </c>
      <c r="D36" s="7" t="s">
        <v>20</v>
      </c>
      <c r="E36" s="8">
        <v>0.04</v>
      </c>
      <c r="F36" t="s">
        <v>21</v>
      </c>
      <c r="G36" s="9">
        <v>10</v>
      </c>
      <c r="H36" s="10">
        <v>0.4</v>
      </c>
      <c r="I36" t="s">
        <v>18</v>
      </c>
      <c r="J36" t="s">
        <v>18</v>
      </c>
      <c r="K36" s="26" t="s">
        <v>18</v>
      </c>
      <c r="L36" t="s">
        <v>18</v>
      </c>
      <c r="M36" t="s">
        <v>18</v>
      </c>
      <c r="N36" t="s">
        <v>18</v>
      </c>
      <c r="O36" t="s">
        <v>18</v>
      </c>
    </row>
    <row r="37" spans="1:15" ht="18" customHeight="1" x14ac:dyDescent="0.15">
      <c r="A37" t="s">
        <v>18</v>
      </c>
      <c r="B37" t="s">
        <v>18</v>
      </c>
      <c r="C37" s="6" t="s">
        <v>233</v>
      </c>
      <c r="D37" s="7" t="s">
        <v>20</v>
      </c>
      <c r="E37" s="8">
        <v>1</v>
      </c>
      <c r="F37" t="s">
        <v>27</v>
      </c>
      <c r="G37" s="9">
        <v>3.2850000000000001</v>
      </c>
      <c r="H37" s="10">
        <v>3.2850000000000001</v>
      </c>
      <c r="I37" t="s">
        <v>18</v>
      </c>
      <c r="J37" t="s">
        <v>18</v>
      </c>
      <c r="K37" s="26" t="s">
        <v>18</v>
      </c>
      <c r="L37" t="s">
        <v>18</v>
      </c>
      <c r="M37" t="s">
        <v>18</v>
      </c>
      <c r="N37" t="s">
        <v>18</v>
      </c>
      <c r="O37" t="s">
        <v>18</v>
      </c>
    </row>
    <row r="38" spans="1:15" ht="18" customHeight="1" x14ac:dyDescent="0.15">
      <c r="A38" t="s">
        <v>18</v>
      </c>
      <c r="B38" t="s">
        <v>18</v>
      </c>
      <c r="C38" s="6" t="s">
        <v>131</v>
      </c>
      <c r="D38" s="7" t="s">
        <v>20</v>
      </c>
      <c r="E38" s="8">
        <v>1.4999999999999999E-2</v>
      </c>
      <c r="F38" t="s">
        <v>21</v>
      </c>
      <c r="G38" s="9">
        <v>5.8</v>
      </c>
      <c r="H38" s="10">
        <v>8.6999999999999994E-2</v>
      </c>
      <c r="I38" t="s">
        <v>18</v>
      </c>
      <c r="J38" t="s">
        <v>18</v>
      </c>
      <c r="K38" s="26" t="s">
        <v>18</v>
      </c>
      <c r="L38" t="s">
        <v>18</v>
      </c>
      <c r="M38" t="s">
        <v>18</v>
      </c>
      <c r="N38" t="s">
        <v>18</v>
      </c>
      <c r="O38" t="s">
        <v>18</v>
      </c>
    </row>
    <row r="40" spans="1:15" ht="20" customHeight="1" x14ac:dyDescent="0.15">
      <c r="A40" s="2" t="s">
        <v>236</v>
      </c>
      <c r="B40" s="2" t="s">
        <v>232</v>
      </c>
      <c r="C40" s="2" t="s">
        <v>18</v>
      </c>
      <c r="D40" s="2" t="s">
        <v>18</v>
      </c>
      <c r="E40" s="2" t="s">
        <v>18</v>
      </c>
      <c r="F40" s="2" t="s">
        <v>18</v>
      </c>
      <c r="G40" s="2" t="s">
        <v>18</v>
      </c>
      <c r="H40" s="2" t="s">
        <v>18</v>
      </c>
      <c r="I40" s="3">
        <v>35</v>
      </c>
      <c r="J40" s="3">
        <f>SUM(H41:H48)</f>
        <v>9.5580000000000016</v>
      </c>
      <c r="K40" s="25">
        <f>J40/(I40/1.18)</f>
        <v>0.32224114285714289</v>
      </c>
      <c r="L40" s="5">
        <v>279</v>
      </c>
      <c r="M40" s="3">
        <f>L40*(I40/1.18)</f>
        <v>8275.4237288135591</v>
      </c>
      <c r="N40" s="3">
        <f>L40*J40</f>
        <v>2666.6820000000002</v>
      </c>
      <c r="O40" s="4">
        <f>N40/M40</f>
        <v>0.32224114285714289</v>
      </c>
    </row>
    <row r="41" spans="1:15" ht="18" customHeight="1" x14ac:dyDescent="0.15">
      <c r="A41" t="s">
        <v>18</v>
      </c>
      <c r="B41" t="s">
        <v>18</v>
      </c>
      <c r="C41" s="6" t="s">
        <v>212</v>
      </c>
      <c r="D41" s="7" t="s">
        <v>35</v>
      </c>
      <c r="E41" s="8">
        <v>7.0000000000000007E-2</v>
      </c>
      <c r="F41" t="s">
        <v>36</v>
      </c>
      <c r="G41" s="9">
        <v>8.64</v>
      </c>
      <c r="H41" s="10">
        <v>0.60480000000000012</v>
      </c>
      <c r="I41" t="s">
        <v>18</v>
      </c>
      <c r="J41" t="s">
        <v>18</v>
      </c>
      <c r="K41" s="26" t="s">
        <v>18</v>
      </c>
      <c r="L41" t="s">
        <v>18</v>
      </c>
      <c r="M41" t="s">
        <v>18</v>
      </c>
      <c r="N41" t="s">
        <v>18</v>
      </c>
      <c r="O41" t="s">
        <v>18</v>
      </c>
    </row>
    <row r="42" spans="1:15" ht="18" customHeight="1" x14ac:dyDescent="0.15">
      <c r="A42" t="s">
        <v>18</v>
      </c>
      <c r="B42" t="s">
        <v>18</v>
      </c>
      <c r="C42" s="6" t="s">
        <v>30</v>
      </c>
      <c r="D42" s="7" t="s">
        <v>31</v>
      </c>
      <c r="E42" s="8">
        <v>1</v>
      </c>
      <c r="F42" t="s">
        <v>32</v>
      </c>
      <c r="G42" s="9">
        <v>0.7</v>
      </c>
      <c r="H42" s="10">
        <v>0.7</v>
      </c>
      <c r="I42" t="s">
        <v>18</v>
      </c>
      <c r="J42" t="s">
        <v>18</v>
      </c>
      <c r="K42" s="26" t="s">
        <v>18</v>
      </c>
      <c r="L42" t="s">
        <v>18</v>
      </c>
      <c r="M42" t="s">
        <v>18</v>
      </c>
      <c r="N42" t="s">
        <v>18</v>
      </c>
      <c r="O42" t="s">
        <v>18</v>
      </c>
    </row>
    <row r="43" spans="1:15" ht="18" customHeight="1" x14ac:dyDescent="0.15">
      <c r="A43" t="s">
        <v>18</v>
      </c>
      <c r="B43" t="s">
        <v>18</v>
      </c>
      <c r="C43" s="6" t="s">
        <v>129</v>
      </c>
      <c r="D43" s="7" t="s">
        <v>20</v>
      </c>
      <c r="E43" s="8">
        <v>0.14000000000000001</v>
      </c>
      <c r="F43" t="s">
        <v>21</v>
      </c>
      <c r="G43" s="9">
        <v>28</v>
      </c>
      <c r="H43" s="10">
        <v>3.9200000000000004</v>
      </c>
      <c r="I43" t="s">
        <v>18</v>
      </c>
      <c r="J43" t="s">
        <v>18</v>
      </c>
      <c r="K43" s="26" t="s">
        <v>18</v>
      </c>
      <c r="L43" t="s">
        <v>18</v>
      </c>
      <c r="M43" t="s">
        <v>18</v>
      </c>
      <c r="N43" t="s">
        <v>18</v>
      </c>
      <c r="O43" t="s">
        <v>18</v>
      </c>
    </row>
    <row r="44" spans="1:15" ht="18" customHeight="1" x14ac:dyDescent="0.15">
      <c r="A44" t="s">
        <v>18</v>
      </c>
      <c r="B44" t="s">
        <v>18</v>
      </c>
      <c r="C44" s="6" t="s">
        <v>125</v>
      </c>
      <c r="D44" s="7" t="s">
        <v>20</v>
      </c>
      <c r="E44" s="8">
        <v>0.02</v>
      </c>
      <c r="F44" t="s">
        <v>21</v>
      </c>
      <c r="G44" s="9">
        <v>14</v>
      </c>
      <c r="H44" s="10">
        <f>G44*E44</f>
        <v>0.28000000000000003</v>
      </c>
      <c r="I44" t="s">
        <v>18</v>
      </c>
      <c r="J44" t="s">
        <v>18</v>
      </c>
      <c r="K44" s="26" t="s">
        <v>18</v>
      </c>
      <c r="L44" t="s">
        <v>18</v>
      </c>
      <c r="M44" t="s">
        <v>18</v>
      </c>
      <c r="N44" t="s">
        <v>18</v>
      </c>
      <c r="O44" t="s">
        <v>18</v>
      </c>
    </row>
    <row r="45" spans="1:15" ht="18" customHeight="1" x14ac:dyDescent="0.15">
      <c r="A45" t="s">
        <v>18</v>
      </c>
      <c r="B45" t="s">
        <v>18</v>
      </c>
      <c r="C45" s="6" t="s">
        <v>126</v>
      </c>
      <c r="D45" s="7" t="s">
        <v>20</v>
      </c>
      <c r="E45" s="8">
        <v>0.04</v>
      </c>
      <c r="F45" t="s">
        <v>21</v>
      </c>
      <c r="G45" s="9">
        <v>10</v>
      </c>
      <c r="H45" s="10">
        <v>0.4</v>
      </c>
      <c r="I45" t="s">
        <v>18</v>
      </c>
      <c r="J45" t="s">
        <v>18</v>
      </c>
      <c r="K45" s="26" t="s">
        <v>18</v>
      </c>
      <c r="L45" t="s">
        <v>18</v>
      </c>
      <c r="M45" t="s">
        <v>18</v>
      </c>
      <c r="N45" t="s">
        <v>18</v>
      </c>
      <c r="O45" t="s">
        <v>18</v>
      </c>
    </row>
    <row r="46" spans="1:15" ht="18" customHeight="1" x14ac:dyDescent="0.15">
      <c r="A46" t="s">
        <v>18</v>
      </c>
      <c r="B46" t="s">
        <v>18</v>
      </c>
      <c r="C46" s="6" t="s">
        <v>233</v>
      </c>
      <c r="D46" s="7" t="s">
        <v>20</v>
      </c>
      <c r="E46" s="8">
        <v>1</v>
      </c>
      <c r="F46" t="s">
        <v>27</v>
      </c>
      <c r="G46" s="9">
        <v>3.2850000000000001</v>
      </c>
      <c r="H46" s="10">
        <v>3.2850000000000001</v>
      </c>
      <c r="I46" t="s">
        <v>18</v>
      </c>
      <c r="J46" t="s">
        <v>18</v>
      </c>
      <c r="K46" s="26" t="s">
        <v>18</v>
      </c>
      <c r="L46" t="s">
        <v>18</v>
      </c>
      <c r="M46" t="s">
        <v>18</v>
      </c>
      <c r="N46" t="s">
        <v>18</v>
      </c>
      <c r="O46" t="s">
        <v>18</v>
      </c>
    </row>
    <row r="47" spans="1:15" ht="18" customHeight="1" x14ac:dyDescent="0.15">
      <c r="A47" t="s">
        <v>18</v>
      </c>
      <c r="B47" t="s">
        <v>18</v>
      </c>
      <c r="C47" s="6" t="s">
        <v>130</v>
      </c>
      <c r="D47" s="7" t="s">
        <v>35</v>
      </c>
      <c r="E47" s="8">
        <v>0.02</v>
      </c>
      <c r="F47" t="s">
        <v>36</v>
      </c>
      <c r="G47" s="9">
        <v>14.06</v>
      </c>
      <c r="H47" s="10">
        <v>0.28120000000000001</v>
      </c>
      <c r="I47" t="s">
        <v>18</v>
      </c>
      <c r="J47" t="s">
        <v>18</v>
      </c>
      <c r="K47" s="26" t="s">
        <v>18</v>
      </c>
      <c r="L47" t="s">
        <v>18</v>
      </c>
      <c r="M47" t="s">
        <v>18</v>
      </c>
      <c r="N47" t="s">
        <v>18</v>
      </c>
      <c r="O47" t="s">
        <v>18</v>
      </c>
    </row>
    <row r="48" spans="1:15" ht="18" customHeight="1" x14ac:dyDescent="0.15">
      <c r="A48" t="s">
        <v>18</v>
      </c>
      <c r="B48" t="s">
        <v>18</v>
      </c>
      <c r="C48" s="6" t="s">
        <v>131</v>
      </c>
      <c r="D48" s="7" t="s">
        <v>20</v>
      </c>
      <c r="E48" s="8">
        <v>1.4999999999999999E-2</v>
      </c>
      <c r="F48" t="s">
        <v>21</v>
      </c>
      <c r="G48" s="9">
        <v>5.8</v>
      </c>
      <c r="H48" s="10">
        <v>8.6999999999999994E-2</v>
      </c>
      <c r="I48" t="s">
        <v>18</v>
      </c>
      <c r="J48" t="s">
        <v>18</v>
      </c>
      <c r="K48" s="26" t="s">
        <v>18</v>
      </c>
      <c r="L48" t="s">
        <v>18</v>
      </c>
      <c r="M48" t="s">
        <v>18</v>
      </c>
      <c r="N48" t="s">
        <v>18</v>
      </c>
      <c r="O48" t="s">
        <v>18</v>
      </c>
    </row>
  </sheetData>
  <mergeCells count="1">
    <mergeCell ref="A1:O1"/>
  </mergeCells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7"/>
  <sheetViews>
    <sheetView workbookViewId="0">
      <pane ySplit="3" topLeftCell="A4" activePane="bottomLeft" state="frozen"/>
      <selection pane="bottomLeft" activeCell="E28" sqref="E28"/>
    </sheetView>
    <sheetView workbookViewId="1">
      <selection sqref="A1:H1"/>
    </sheetView>
  </sheetViews>
  <sheetFormatPr baseColWidth="10" defaultColWidth="8.83203125" defaultRowHeight="14" x14ac:dyDescent="0.15"/>
  <cols>
    <col min="1" max="1" width="24" customWidth="1"/>
    <col min="2" max="2" width="12" customWidth="1"/>
    <col min="3" max="3" width="16" customWidth="1"/>
    <col min="4" max="4" width="17.5" bestFit="1" customWidth="1"/>
    <col min="5" max="5" width="24" bestFit="1" customWidth="1"/>
    <col min="6" max="6" width="17" bestFit="1" customWidth="1"/>
  </cols>
  <sheetData>
    <row r="1" spans="1:6" ht="28" customHeight="1" x14ac:dyDescent="0.2">
      <c r="A1" s="22" t="s">
        <v>237</v>
      </c>
      <c r="B1" s="22"/>
      <c r="C1" s="22"/>
      <c r="D1" s="22"/>
      <c r="E1" s="22"/>
    </row>
    <row r="2" spans="1:6" x14ac:dyDescent="0.15">
      <c r="A2" s="23" t="s">
        <v>0</v>
      </c>
      <c r="B2" s="23"/>
      <c r="C2" s="23"/>
      <c r="D2" s="23"/>
      <c r="E2" s="23"/>
    </row>
    <row r="4" spans="1:6" ht="28" customHeight="1" x14ac:dyDescent="0.15">
      <c r="A4" s="1" t="s">
        <v>2</v>
      </c>
      <c r="B4" s="1" t="s">
        <v>12</v>
      </c>
      <c r="C4" s="1" t="s">
        <v>238</v>
      </c>
      <c r="D4" s="1" t="s">
        <v>13</v>
      </c>
      <c r="E4" s="1" t="s">
        <v>14</v>
      </c>
      <c r="F4" s="1" t="s">
        <v>15</v>
      </c>
    </row>
    <row r="5" spans="1:6" ht="20" customHeight="1" x14ac:dyDescent="0.15">
      <c r="A5" s="14" t="s">
        <v>17</v>
      </c>
      <c r="B5" s="16">
        <f>SUM(Appetizers!L3:L100)</f>
        <v>4477</v>
      </c>
      <c r="C5" s="17">
        <f>D5/$D$17</f>
        <v>0.15656326123678843</v>
      </c>
      <c r="D5" s="10">
        <f>SUM(Appetizers!M3:M116)</f>
        <v>131484.74576271189</v>
      </c>
      <c r="E5" s="10">
        <f>SUM(Appetizers!N3:N114)</f>
        <v>36330.773780000003</v>
      </c>
      <c r="F5" s="15">
        <f>E5/D5</f>
        <v>0.27631170117304321</v>
      </c>
    </row>
    <row r="6" spans="1:6" ht="20" customHeight="1" x14ac:dyDescent="0.15">
      <c r="A6" s="14" t="s">
        <v>70</v>
      </c>
      <c r="B6" s="16">
        <f>SUM('beside the burger'!L3:L118)</f>
        <v>3471</v>
      </c>
      <c r="C6" s="17">
        <f>D6/$D$17</f>
        <v>6.1765756529355613E-2</v>
      </c>
      <c r="D6" s="10">
        <f>SUM('beside the burger'!M3:M132)</f>
        <v>51872.03389830509</v>
      </c>
      <c r="E6" s="10">
        <f>SUM('beside the burger'!N3:N78)</f>
        <v>15185.876100000001</v>
      </c>
      <c r="F6" s="15">
        <f t="shared" ref="F6:F15" si="0">E6/D6</f>
        <v>0.29275651943341663</v>
      </c>
    </row>
    <row r="7" spans="1:6" ht="20" customHeight="1" x14ac:dyDescent="0.15">
      <c r="A7" s="14" t="s">
        <v>121</v>
      </c>
      <c r="B7" s="16">
        <f>SUM(children!L3:L28)</f>
        <v>787</v>
      </c>
      <c r="C7" s="17">
        <f>D7/$D$17</f>
        <v>2.7795549079401731E-2</v>
      </c>
      <c r="D7" s="10">
        <f>SUM(children!M3:M28)</f>
        <v>23343.220338983054</v>
      </c>
      <c r="E7" s="10">
        <f>SUM(children!N3:N34)</f>
        <v>7904.0679</v>
      </c>
      <c r="F7" s="15">
        <f t="shared" si="0"/>
        <v>0.33860229159557081</v>
      </c>
    </row>
    <row r="8" spans="1:6" ht="20" customHeight="1" x14ac:dyDescent="0.15">
      <c r="A8" s="14" t="s">
        <v>133</v>
      </c>
      <c r="B8" s="16">
        <f>SUM('enlarge burger'!L3:L231)</f>
        <v>459</v>
      </c>
      <c r="C8" s="17">
        <f>D8/$D$17</f>
        <v>8.73372580440087E-3</v>
      </c>
      <c r="D8" s="10">
        <f>SUM('enlarge burger'!M3:M51)</f>
        <v>7334.7457627118647</v>
      </c>
      <c r="E8" s="10">
        <f>SUM('enlarge burger'!N3:N30)</f>
        <v>2349.92</v>
      </c>
      <c r="F8" s="15">
        <f t="shared" si="0"/>
        <v>0.32038192952050837</v>
      </c>
    </row>
    <row r="9" spans="1:6" ht="20" customHeight="1" x14ac:dyDescent="0.15">
      <c r="A9" s="14" t="s">
        <v>137</v>
      </c>
      <c r="B9" s="16">
        <f>family!L3</f>
        <v>68</v>
      </c>
      <c r="C9" s="17">
        <f>D9/$D$17</f>
        <v>1.3037520207147227E-2</v>
      </c>
      <c r="D9" s="10">
        <f>family!M3</f>
        <v>10949.152542372884</v>
      </c>
      <c r="E9" s="10">
        <f>family!N3</f>
        <v>3199.6094400000002</v>
      </c>
      <c r="F9" s="15">
        <f>E9/D9</f>
        <v>0.29222439157894731</v>
      </c>
    </row>
    <row r="10" spans="1:6" ht="20" customHeight="1" x14ac:dyDescent="0.15">
      <c r="A10" s="14" t="s">
        <v>141</v>
      </c>
      <c r="B10" s="16">
        <f>SUM(hamburgers!L3:L58)</f>
        <v>4097</v>
      </c>
      <c r="C10" s="17">
        <f>D10/$D$17</f>
        <v>0.17447976056170317</v>
      </c>
      <c r="D10" s="10">
        <f>SUM(hamburgers!M3:M165)</f>
        <v>146531.35593220338</v>
      </c>
      <c r="E10" s="10">
        <f>SUM(hamburgers!N3:N80)</f>
        <v>47311.347099999999</v>
      </c>
      <c r="F10" s="15">
        <f t="shared" si="0"/>
        <v>0.32287524263332312</v>
      </c>
    </row>
    <row r="11" spans="1:6" ht="20" customHeight="1" x14ac:dyDescent="0.15">
      <c r="A11" s="14" t="s">
        <v>160</v>
      </c>
      <c r="B11" s="16">
        <f>SUM('on a plate'!L3:L250)</f>
        <v>539</v>
      </c>
      <c r="C11" s="17">
        <f>D11/$D$17</f>
        <v>2.5362618644461172E-2</v>
      </c>
      <c r="D11" s="10">
        <f>SUM('on a plate'!M3:M84)</f>
        <v>21300</v>
      </c>
      <c r="E11" s="10">
        <f>SUM('on a plate'!N3:N33)</f>
        <v>5560.4974000000002</v>
      </c>
      <c r="F11" s="15">
        <f t="shared" si="0"/>
        <v>0.26105621596244133</v>
      </c>
    </row>
    <row r="12" spans="1:6" ht="20" customHeight="1" x14ac:dyDescent="0.15">
      <c r="A12" s="14" t="s">
        <v>169</v>
      </c>
      <c r="B12" s="16">
        <f>SUM('on top of'!L3:L64)</f>
        <v>2926</v>
      </c>
      <c r="C12" s="17">
        <f>D12/$D$17</f>
        <v>2.4479659652104069E-2</v>
      </c>
      <c r="D12" s="10">
        <f>SUM('on top of'!M3:M55)</f>
        <v>20558.47457627119</v>
      </c>
      <c r="E12" s="10">
        <f>SUM('on top of'!N3:N42)</f>
        <v>3791.7149359999999</v>
      </c>
      <c r="F12" s="15">
        <f t="shared" si="0"/>
        <v>0.1844356166569108</v>
      </c>
    </row>
    <row r="13" spans="1:6" ht="20" customHeight="1" x14ac:dyDescent="0.15">
      <c r="A13" s="14" t="s">
        <v>188</v>
      </c>
      <c r="B13" s="16">
        <f>SUM(Salads!L3:L124)</f>
        <v>3976</v>
      </c>
      <c r="C13" s="17">
        <f>D13/$D$17</f>
        <v>0.134851551888725</v>
      </c>
      <c r="D13" s="10">
        <f>SUM(Salads!M3:M124)</f>
        <v>113250.84745762714</v>
      </c>
      <c r="E13" s="10">
        <f>SUM(Salads!N3:N149)</f>
        <v>30127.290355132274</v>
      </c>
      <c r="F13" s="15">
        <f t="shared" si="0"/>
        <v>0.26602264823143523</v>
      </c>
    </row>
    <row r="14" spans="1:6" ht="20" customHeight="1" x14ac:dyDescent="0.15">
      <c r="A14" s="14" t="s">
        <v>209</v>
      </c>
      <c r="B14" s="16">
        <f>SUM('special burger'!L3:L205)</f>
        <v>5510</v>
      </c>
      <c r="C14" s="17">
        <f>D14/$D$17</f>
        <v>0.32683004603495908</v>
      </c>
      <c r="D14" s="10">
        <f>SUM('special burger'!M3:M243)</f>
        <v>274477.96610169491</v>
      </c>
      <c r="E14" s="10">
        <f>SUM('special burger'!N3:N284)</f>
        <v>96946.124289501066</v>
      </c>
      <c r="F14" s="15">
        <f t="shared" si="0"/>
        <v>0.35320184591276893</v>
      </c>
    </row>
    <row r="15" spans="1:6" ht="20" customHeight="1" x14ac:dyDescent="0.15">
      <c r="A15" s="14" t="s">
        <v>232</v>
      </c>
      <c r="B15" s="16">
        <f>SUM(wraps!L3:L66)</f>
        <v>1171</v>
      </c>
      <c r="C15" s="17">
        <f>D15/$D$17</f>
        <v>4.6100550360953632E-2</v>
      </c>
      <c r="D15" s="10">
        <f>SUM(wraps!M3:M83)</f>
        <v>38716.101694915254</v>
      </c>
      <c r="E15" s="10">
        <f>SUM(wraps!N3:N72)</f>
        <v>13806.2337216</v>
      </c>
      <c r="F15" s="15">
        <f t="shared" si="0"/>
        <v>0.35660185600280181</v>
      </c>
    </row>
    <row r="17" spans="1:6" ht="22" customHeight="1" x14ac:dyDescent="0.15">
      <c r="A17" s="18" t="s">
        <v>239</v>
      </c>
      <c r="B17" s="21">
        <v>18584</v>
      </c>
      <c r="C17" s="20">
        <v>1</v>
      </c>
      <c r="D17" s="19">
        <f>SUM(D5:D15)</f>
        <v>839818.64406779665</v>
      </c>
      <c r="E17" s="19">
        <f>SUM(E5:E15)</f>
        <v>262513.45502223331</v>
      </c>
      <c r="F17" s="20">
        <f>E17/D17</f>
        <v>0.31258350463703349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גליונות עבודה</vt:lpstr>
      </vt:variant>
      <vt:variant>
        <vt:i4>14</vt:i4>
      </vt:variant>
    </vt:vector>
  </HeadingPairs>
  <TitlesOfParts>
    <vt:vector size="14" baseType="lpstr">
      <vt:lpstr>Appetizers</vt:lpstr>
      <vt:lpstr>beside the burger</vt:lpstr>
      <vt:lpstr>Beverages</vt:lpstr>
      <vt:lpstr>children</vt:lpstr>
      <vt:lpstr>enlarge burger</vt:lpstr>
      <vt:lpstr>family</vt:lpstr>
      <vt:lpstr>hamburgers</vt:lpstr>
      <vt:lpstr>long box</vt:lpstr>
      <vt:lpstr>on a plate</vt:lpstr>
      <vt:lpstr>on top of</vt:lpstr>
      <vt:lpstr>Salads</vt:lpstr>
      <vt:lpstr>special burger</vt:lpstr>
      <vt:lpstr>wraps</vt:lpstr>
      <vt:lpstr>📊 Summary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2026-03-11T14:55:35Z</dcterms:created>
  <dcterms:modified xsi:type="dcterms:W3CDTF">2026-03-12T10:24:33Z</dcterms:modified>
  <cp:category/>
</cp:coreProperties>
</file>